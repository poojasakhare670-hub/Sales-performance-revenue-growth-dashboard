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54df43b4c7728f5/Desktop/Power BI Project/"/>
    </mc:Choice>
  </mc:AlternateContent>
  <xr:revisionPtr revIDLastSave="8" documentId="11_9A971DAEC42D499121424435DA78AC2FAFD67C8D" xr6:coauthVersionLast="47" xr6:coauthVersionMax="47" xr10:uidLastSave="{8FFB83C8-EDDD-4B70-A5CC-05DF48EAD1F3}"/>
  <bookViews>
    <workbookView xWindow="-108" yWindow="-108" windowWidth="23256" windowHeight="12456" tabRatio="500" xr2:uid="{00000000-000D-0000-FFFF-FFFF00000000}"/>
  </bookViews>
  <sheets>
    <sheet name="Sales_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21" i="1" l="1"/>
  <c r="D221" i="1"/>
  <c r="C221" i="1"/>
  <c r="B221" i="1"/>
  <c r="L220" i="1"/>
  <c r="D220" i="1"/>
  <c r="C220" i="1"/>
  <c r="B220" i="1"/>
  <c r="T219" i="1"/>
  <c r="S219" i="1"/>
  <c r="U219" i="1" s="1"/>
  <c r="M219" i="1"/>
  <c r="N219" i="1" s="1"/>
  <c r="O219" i="1" s="1"/>
  <c r="L219" i="1"/>
  <c r="D219" i="1"/>
  <c r="C219" i="1"/>
  <c r="B219" i="1"/>
  <c r="L218" i="1"/>
  <c r="S218" i="1" s="1"/>
  <c r="D218" i="1"/>
  <c r="C218" i="1"/>
  <c r="B218" i="1"/>
  <c r="L217" i="1"/>
  <c r="D217" i="1"/>
  <c r="C217" i="1"/>
  <c r="B217" i="1"/>
  <c r="L216" i="1"/>
  <c r="S216" i="1" s="1"/>
  <c r="D216" i="1"/>
  <c r="C216" i="1"/>
  <c r="B216" i="1"/>
  <c r="L215" i="1"/>
  <c r="D215" i="1"/>
  <c r="C215" i="1"/>
  <c r="B215" i="1"/>
  <c r="L214" i="1"/>
  <c r="D214" i="1"/>
  <c r="C214" i="1"/>
  <c r="B214" i="1"/>
  <c r="S213" i="1"/>
  <c r="U213" i="1" s="1"/>
  <c r="N213" i="1"/>
  <c r="O213" i="1" s="1"/>
  <c r="M213" i="1"/>
  <c r="L213" i="1"/>
  <c r="D213" i="1"/>
  <c r="C213" i="1"/>
  <c r="B213" i="1"/>
  <c r="S212" i="1"/>
  <c r="U212" i="1" s="1"/>
  <c r="L212" i="1"/>
  <c r="D212" i="1"/>
  <c r="C212" i="1"/>
  <c r="B212" i="1"/>
  <c r="L211" i="1"/>
  <c r="D211" i="1"/>
  <c r="C211" i="1"/>
  <c r="B211" i="1"/>
  <c r="T210" i="1"/>
  <c r="S210" i="1"/>
  <c r="U210" i="1" s="1"/>
  <c r="L210" i="1"/>
  <c r="D210" i="1"/>
  <c r="C210" i="1"/>
  <c r="B210" i="1"/>
  <c r="L209" i="1"/>
  <c r="D209" i="1"/>
  <c r="C209" i="1"/>
  <c r="B209" i="1"/>
  <c r="L208" i="1"/>
  <c r="D208" i="1"/>
  <c r="C208" i="1"/>
  <c r="B208" i="1"/>
  <c r="S207" i="1"/>
  <c r="M207" i="1"/>
  <c r="N207" i="1" s="1"/>
  <c r="O207" i="1" s="1"/>
  <c r="L207" i="1"/>
  <c r="D207" i="1"/>
  <c r="C207" i="1"/>
  <c r="B207" i="1"/>
  <c r="M206" i="1"/>
  <c r="L206" i="1"/>
  <c r="D206" i="1"/>
  <c r="C206" i="1"/>
  <c r="B206" i="1"/>
  <c r="S205" i="1"/>
  <c r="U205" i="1" s="1"/>
  <c r="L205" i="1"/>
  <c r="D205" i="1"/>
  <c r="C205" i="1"/>
  <c r="B205" i="1"/>
  <c r="L204" i="1"/>
  <c r="D204" i="1"/>
  <c r="C204" i="1"/>
  <c r="B204" i="1"/>
  <c r="U203" i="1"/>
  <c r="T203" i="1"/>
  <c r="L203" i="1"/>
  <c r="S203" i="1" s="1"/>
  <c r="D203" i="1"/>
  <c r="C203" i="1"/>
  <c r="B203" i="1"/>
  <c r="S202" i="1"/>
  <c r="L202" i="1"/>
  <c r="D202" i="1"/>
  <c r="C202" i="1"/>
  <c r="B202" i="1"/>
  <c r="S201" i="1"/>
  <c r="U201" i="1" s="1"/>
  <c r="M201" i="1"/>
  <c r="N201" i="1" s="1"/>
  <c r="O201" i="1" s="1"/>
  <c r="L201" i="1"/>
  <c r="D201" i="1"/>
  <c r="C201" i="1"/>
  <c r="B201" i="1"/>
  <c r="S200" i="1"/>
  <c r="U200" i="1" s="1"/>
  <c r="O200" i="1"/>
  <c r="L200" i="1"/>
  <c r="M200" i="1" s="1"/>
  <c r="N200" i="1" s="1"/>
  <c r="D200" i="1"/>
  <c r="C200" i="1"/>
  <c r="B200" i="1"/>
  <c r="S199" i="1"/>
  <c r="U199" i="1" s="1"/>
  <c r="L199" i="1"/>
  <c r="D199" i="1"/>
  <c r="C199" i="1"/>
  <c r="B199" i="1"/>
  <c r="L198" i="1"/>
  <c r="S198" i="1" s="1"/>
  <c r="D198" i="1"/>
  <c r="C198" i="1"/>
  <c r="B198" i="1"/>
  <c r="L197" i="1"/>
  <c r="D197" i="1"/>
  <c r="C197" i="1"/>
  <c r="B197" i="1"/>
  <c r="L196" i="1"/>
  <c r="D196" i="1"/>
  <c r="C196" i="1"/>
  <c r="B196" i="1"/>
  <c r="T195" i="1"/>
  <c r="S195" i="1"/>
  <c r="U195" i="1" s="1"/>
  <c r="M195" i="1"/>
  <c r="N195" i="1" s="1"/>
  <c r="O195" i="1" s="1"/>
  <c r="L195" i="1"/>
  <c r="D195" i="1"/>
  <c r="C195" i="1"/>
  <c r="B195" i="1"/>
  <c r="L194" i="1"/>
  <c r="S194" i="1" s="1"/>
  <c r="D194" i="1"/>
  <c r="C194" i="1"/>
  <c r="B194" i="1"/>
  <c r="L193" i="1"/>
  <c r="D193" i="1"/>
  <c r="C193" i="1"/>
  <c r="B193" i="1"/>
  <c r="M192" i="1"/>
  <c r="N192" i="1" s="1"/>
  <c r="O192" i="1" s="1"/>
  <c r="L192" i="1"/>
  <c r="S192" i="1" s="1"/>
  <c r="D192" i="1"/>
  <c r="C192" i="1"/>
  <c r="B192" i="1"/>
  <c r="L191" i="1"/>
  <c r="D191" i="1"/>
  <c r="C191" i="1"/>
  <c r="B191" i="1"/>
  <c r="L190" i="1"/>
  <c r="D190" i="1"/>
  <c r="C190" i="1"/>
  <c r="B190" i="1"/>
  <c r="S189" i="1"/>
  <c r="U189" i="1" s="1"/>
  <c r="N189" i="1"/>
  <c r="O189" i="1" s="1"/>
  <c r="M189" i="1"/>
  <c r="L189" i="1"/>
  <c r="D189" i="1"/>
  <c r="C189" i="1"/>
  <c r="B189" i="1"/>
  <c r="S188" i="1"/>
  <c r="L188" i="1"/>
  <c r="D188" i="1"/>
  <c r="C188" i="1"/>
  <c r="B188" i="1"/>
  <c r="L187" i="1"/>
  <c r="S187" i="1" s="1"/>
  <c r="D187" i="1"/>
  <c r="C187" i="1"/>
  <c r="B187" i="1"/>
  <c r="T186" i="1"/>
  <c r="S186" i="1"/>
  <c r="U186" i="1" s="1"/>
  <c r="L186" i="1"/>
  <c r="D186" i="1"/>
  <c r="C186" i="1"/>
  <c r="B186" i="1"/>
  <c r="L185" i="1"/>
  <c r="D185" i="1"/>
  <c r="C185" i="1"/>
  <c r="B185" i="1"/>
  <c r="T184" i="1"/>
  <c r="S184" i="1"/>
  <c r="U184" i="1" s="1"/>
  <c r="L184" i="1"/>
  <c r="M184" i="1" s="1"/>
  <c r="D184" i="1"/>
  <c r="C184" i="1"/>
  <c r="B184" i="1"/>
  <c r="S183" i="1"/>
  <c r="M183" i="1"/>
  <c r="N183" i="1" s="1"/>
  <c r="O183" i="1" s="1"/>
  <c r="L183" i="1"/>
  <c r="D183" i="1"/>
  <c r="C183" i="1"/>
  <c r="B183" i="1"/>
  <c r="L182" i="1"/>
  <c r="D182" i="1"/>
  <c r="C182" i="1"/>
  <c r="B182" i="1"/>
  <c r="S181" i="1"/>
  <c r="U181" i="1" s="1"/>
  <c r="L181" i="1"/>
  <c r="D181" i="1"/>
  <c r="C181" i="1"/>
  <c r="B181" i="1"/>
  <c r="L180" i="1"/>
  <c r="D180" i="1"/>
  <c r="C180" i="1"/>
  <c r="B180" i="1"/>
  <c r="U179" i="1"/>
  <c r="T179" i="1"/>
  <c r="L179" i="1"/>
  <c r="S179" i="1" s="1"/>
  <c r="D179" i="1"/>
  <c r="C179" i="1"/>
  <c r="B179" i="1"/>
  <c r="S178" i="1"/>
  <c r="L178" i="1"/>
  <c r="D178" i="1"/>
  <c r="C178" i="1"/>
  <c r="B178" i="1"/>
  <c r="S177" i="1"/>
  <c r="U177" i="1" s="1"/>
  <c r="M177" i="1"/>
  <c r="N177" i="1" s="1"/>
  <c r="O177" i="1" s="1"/>
  <c r="L177" i="1"/>
  <c r="D177" i="1"/>
  <c r="C177" i="1"/>
  <c r="B177" i="1"/>
  <c r="S176" i="1"/>
  <c r="U176" i="1" s="1"/>
  <c r="L176" i="1"/>
  <c r="M176" i="1" s="1"/>
  <c r="N176" i="1" s="1"/>
  <c r="O176" i="1" s="1"/>
  <c r="D176" i="1"/>
  <c r="C176" i="1"/>
  <c r="B176" i="1"/>
  <c r="S175" i="1"/>
  <c r="U175" i="1" s="1"/>
  <c r="L175" i="1"/>
  <c r="M175" i="1" s="1"/>
  <c r="N175" i="1" s="1"/>
  <c r="O175" i="1" s="1"/>
  <c r="D175" i="1"/>
  <c r="C175" i="1"/>
  <c r="B175" i="1"/>
  <c r="L174" i="1"/>
  <c r="D174" i="1"/>
  <c r="C174" i="1"/>
  <c r="B174" i="1"/>
  <c r="L173" i="1"/>
  <c r="D173" i="1"/>
  <c r="C173" i="1"/>
  <c r="B173" i="1"/>
  <c r="L172" i="1"/>
  <c r="D172" i="1"/>
  <c r="C172" i="1"/>
  <c r="B172" i="1"/>
  <c r="T171" i="1"/>
  <c r="S171" i="1"/>
  <c r="U171" i="1" s="1"/>
  <c r="M171" i="1"/>
  <c r="N171" i="1" s="1"/>
  <c r="O171" i="1" s="1"/>
  <c r="L171" i="1"/>
  <c r="D171" i="1"/>
  <c r="C171" i="1"/>
  <c r="B171" i="1"/>
  <c r="L170" i="1"/>
  <c r="D170" i="1"/>
  <c r="C170" i="1"/>
  <c r="B170" i="1"/>
  <c r="L169" i="1"/>
  <c r="S169" i="1" s="1"/>
  <c r="D169" i="1"/>
  <c r="C169" i="1"/>
  <c r="B169" i="1"/>
  <c r="L168" i="1"/>
  <c r="S168" i="1" s="1"/>
  <c r="D168" i="1"/>
  <c r="C168" i="1"/>
  <c r="B168" i="1"/>
  <c r="L167" i="1"/>
  <c r="D167" i="1"/>
  <c r="C167" i="1"/>
  <c r="B167" i="1"/>
  <c r="L166" i="1"/>
  <c r="D166" i="1"/>
  <c r="C166" i="1"/>
  <c r="B166" i="1"/>
  <c r="U165" i="1"/>
  <c r="S165" i="1"/>
  <c r="T165" i="1" s="1"/>
  <c r="N165" i="1"/>
  <c r="O165" i="1" s="1"/>
  <c r="M165" i="1"/>
  <c r="L165" i="1"/>
  <c r="D165" i="1"/>
  <c r="C165" i="1"/>
  <c r="B165" i="1"/>
  <c r="S164" i="1"/>
  <c r="U164" i="1" s="1"/>
  <c r="L164" i="1"/>
  <c r="D164" i="1"/>
  <c r="C164" i="1"/>
  <c r="B164" i="1"/>
  <c r="L163" i="1"/>
  <c r="D163" i="1"/>
  <c r="C163" i="1"/>
  <c r="B163" i="1"/>
  <c r="S162" i="1"/>
  <c r="U162" i="1" s="1"/>
  <c r="L162" i="1"/>
  <c r="D162" i="1"/>
  <c r="C162" i="1"/>
  <c r="B162" i="1"/>
  <c r="L161" i="1"/>
  <c r="S161" i="1" s="1"/>
  <c r="U161" i="1" s="1"/>
  <c r="D161" i="1"/>
  <c r="C161" i="1"/>
  <c r="B161" i="1"/>
  <c r="L160" i="1"/>
  <c r="D160" i="1"/>
  <c r="C160" i="1"/>
  <c r="B160" i="1"/>
  <c r="S159" i="1"/>
  <c r="M159" i="1"/>
  <c r="N159" i="1" s="1"/>
  <c r="O159" i="1" s="1"/>
  <c r="L159" i="1"/>
  <c r="D159" i="1"/>
  <c r="C159" i="1"/>
  <c r="B159" i="1"/>
  <c r="L158" i="1"/>
  <c r="D158" i="1"/>
  <c r="C158" i="1"/>
  <c r="B158" i="1"/>
  <c r="L157" i="1"/>
  <c r="D157" i="1"/>
  <c r="C157" i="1"/>
  <c r="B157" i="1"/>
  <c r="L156" i="1"/>
  <c r="D156" i="1"/>
  <c r="C156" i="1"/>
  <c r="B156" i="1"/>
  <c r="U155" i="1"/>
  <c r="T155" i="1"/>
  <c r="L155" i="1"/>
  <c r="S155" i="1" s="1"/>
  <c r="D155" i="1"/>
  <c r="C155" i="1"/>
  <c r="B155" i="1"/>
  <c r="S154" i="1"/>
  <c r="L154" i="1"/>
  <c r="D154" i="1"/>
  <c r="C154" i="1"/>
  <c r="B154" i="1"/>
  <c r="S153" i="1"/>
  <c r="M153" i="1"/>
  <c r="N153" i="1" s="1"/>
  <c r="O153" i="1" s="1"/>
  <c r="L153" i="1"/>
  <c r="D153" i="1"/>
  <c r="C153" i="1"/>
  <c r="B153" i="1"/>
  <c r="S152" i="1"/>
  <c r="U152" i="1" s="1"/>
  <c r="L152" i="1"/>
  <c r="M152" i="1" s="1"/>
  <c r="N152" i="1" s="1"/>
  <c r="O152" i="1" s="1"/>
  <c r="D152" i="1"/>
  <c r="C152" i="1"/>
  <c r="B152" i="1"/>
  <c r="S151" i="1"/>
  <c r="U151" i="1" s="1"/>
  <c r="L151" i="1"/>
  <c r="D151" i="1"/>
  <c r="C151" i="1"/>
  <c r="B151" i="1"/>
  <c r="S150" i="1"/>
  <c r="U150" i="1" s="1"/>
  <c r="L150" i="1"/>
  <c r="D150" i="1"/>
  <c r="C150" i="1"/>
  <c r="B150" i="1"/>
  <c r="L149" i="1"/>
  <c r="D149" i="1"/>
  <c r="C149" i="1"/>
  <c r="B149" i="1"/>
  <c r="L148" i="1"/>
  <c r="D148" i="1"/>
  <c r="C148" i="1"/>
  <c r="B148" i="1"/>
  <c r="S147" i="1"/>
  <c r="U147" i="1" s="1"/>
  <c r="M147" i="1"/>
  <c r="N147" i="1" s="1"/>
  <c r="O147" i="1" s="1"/>
  <c r="L147" i="1"/>
  <c r="D147" i="1"/>
  <c r="C147" i="1"/>
  <c r="B147" i="1"/>
  <c r="L146" i="1"/>
  <c r="S146" i="1" s="1"/>
  <c r="D146" i="1"/>
  <c r="C146" i="1"/>
  <c r="B146" i="1"/>
  <c r="U145" i="1"/>
  <c r="T145" i="1"/>
  <c r="L145" i="1"/>
  <c r="S145" i="1" s="1"/>
  <c r="D145" i="1"/>
  <c r="C145" i="1"/>
  <c r="B145" i="1"/>
  <c r="L144" i="1"/>
  <c r="D144" i="1"/>
  <c r="C144" i="1"/>
  <c r="B144" i="1"/>
  <c r="L143" i="1"/>
  <c r="D143" i="1"/>
  <c r="C143" i="1"/>
  <c r="B143" i="1"/>
  <c r="L142" i="1"/>
  <c r="D142" i="1"/>
  <c r="C142" i="1"/>
  <c r="B142" i="1"/>
  <c r="T141" i="1"/>
  <c r="S141" i="1"/>
  <c r="U141" i="1" s="1"/>
  <c r="N141" i="1"/>
  <c r="O141" i="1" s="1"/>
  <c r="M141" i="1"/>
  <c r="L141" i="1"/>
  <c r="D141" i="1"/>
  <c r="C141" i="1"/>
  <c r="B141" i="1"/>
  <c r="L140" i="1"/>
  <c r="S140" i="1" s="1"/>
  <c r="D140" i="1"/>
  <c r="C140" i="1"/>
  <c r="B140" i="1"/>
  <c r="U139" i="1"/>
  <c r="L139" i="1"/>
  <c r="S139" i="1" s="1"/>
  <c r="T139" i="1" s="1"/>
  <c r="D139" i="1"/>
  <c r="C139" i="1"/>
  <c r="B139" i="1"/>
  <c r="S138" i="1"/>
  <c r="U138" i="1" s="1"/>
  <c r="L138" i="1"/>
  <c r="D138" i="1"/>
  <c r="C138" i="1"/>
  <c r="B138" i="1"/>
  <c r="L137" i="1"/>
  <c r="D137" i="1"/>
  <c r="C137" i="1"/>
  <c r="B137" i="1"/>
  <c r="U136" i="1"/>
  <c r="S136" i="1"/>
  <c r="T136" i="1" s="1"/>
  <c r="L136" i="1"/>
  <c r="D136" i="1"/>
  <c r="C136" i="1"/>
  <c r="B136" i="1"/>
  <c r="S135" i="1"/>
  <c r="M135" i="1"/>
  <c r="N135" i="1" s="1"/>
  <c r="O135" i="1" s="1"/>
  <c r="L135" i="1"/>
  <c r="D135" i="1"/>
  <c r="C135" i="1"/>
  <c r="B135" i="1"/>
  <c r="L134" i="1"/>
  <c r="D134" i="1"/>
  <c r="C134" i="1"/>
  <c r="B134" i="1"/>
  <c r="L133" i="1"/>
  <c r="D133" i="1"/>
  <c r="C133" i="1"/>
  <c r="B133" i="1"/>
  <c r="L132" i="1"/>
  <c r="S132" i="1" s="1"/>
  <c r="U132" i="1" s="1"/>
  <c r="D132" i="1"/>
  <c r="C132" i="1"/>
  <c r="B132" i="1"/>
  <c r="U131" i="1"/>
  <c r="T131" i="1"/>
  <c r="L131" i="1"/>
  <c r="S131" i="1" s="1"/>
  <c r="D131" i="1"/>
  <c r="C131" i="1"/>
  <c r="B131" i="1"/>
  <c r="L130" i="1"/>
  <c r="D130" i="1"/>
  <c r="C130" i="1"/>
  <c r="B130" i="1"/>
  <c r="S129" i="1"/>
  <c r="M129" i="1"/>
  <c r="N129" i="1" s="1"/>
  <c r="O129" i="1" s="1"/>
  <c r="L129" i="1"/>
  <c r="D129" i="1"/>
  <c r="C129" i="1"/>
  <c r="B129" i="1"/>
  <c r="S128" i="1"/>
  <c r="U128" i="1" s="1"/>
  <c r="L128" i="1"/>
  <c r="M128" i="1" s="1"/>
  <c r="N128" i="1" s="1"/>
  <c r="O128" i="1" s="1"/>
  <c r="D128" i="1"/>
  <c r="C128" i="1"/>
  <c r="B128" i="1"/>
  <c r="U127" i="1"/>
  <c r="L127" i="1"/>
  <c r="S127" i="1" s="1"/>
  <c r="T127" i="1" s="1"/>
  <c r="D127" i="1"/>
  <c r="C127" i="1"/>
  <c r="B127" i="1"/>
  <c r="L126" i="1"/>
  <c r="S126" i="1" s="1"/>
  <c r="D126" i="1"/>
  <c r="C126" i="1"/>
  <c r="B126" i="1"/>
  <c r="L125" i="1"/>
  <c r="D125" i="1"/>
  <c r="C125" i="1"/>
  <c r="B125" i="1"/>
  <c r="L124" i="1"/>
  <c r="D124" i="1"/>
  <c r="C124" i="1"/>
  <c r="B124" i="1"/>
  <c r="U123" i="1"/>
  <c r="T123" i="1"/>
  <c r="S123" i="1"/>
  <c r="M123" i="1"/>
  <c r="N123" i="1" s="1"/>
  <c r="O123" i="1" s="1"/>
  <c r="L123" i="1"/>
  <c r="D123" i="1"/>
  <c r="C123" i="1"/>
  <c r="B123" i="1"/>
  <c r="S122" i="1"/>
  <c r="M122" i="1"/>
  <c r="N122" i="1" s="1"/>
  <c r="O122" i="1" s="1"/>
  <c r="L122" i="1"/>
  <c r="D122" i="1"/>
  <c r="C122" i="1"/>
  <c r="B122" i="1"/>
  <c r="L121" i="1"/>
  <c r="S121" i="1" s="1"/>
  <c r="U121" i="1" s="1"/>
  <c r="D121" i="1"/>
  <c r="C121" i="1"/>
  <c r="B121" i="1"/>
  <c r="L120" i="1"/>
  <c r="D120" i="1"/>
  <c r="C120" i="1"/>
  <c r="B120" i="1"/>
  <c r="L119" i="1"/>
  <c r="D119" i="1"/>
  <c r="C119" i="1"/>
  <c r="B119" i="1"/>
  <c r="L118" i="1"/>
  <c r="D118" i="1"/>
  <c r="C118" i="1"/>
  <c r="B118" i="1"/>
  <c r="S117" i="1"/>
  <c r="U117" i="1" s="1"/>
  <c r="N117" i="1"/>
  <c r="O117" i="1" s="1"/>
  <c r="M117" i="1"/>
  <c r="L117" i="1"/>
  <c r="D117" i="1"/>
  <c r="C117" i="1"/>
  <c r="B117" i="1"/>
  <c r="S116" i="1"/>
  <c r="U116" i="1" s="1"/>
  <c r="N116" i="1"/>
  <c r="O116" i="1" s="1"/>
  <c r="M116" i="1"/>
  <c r="L116" i="1"/>
  <c r="D116" i="1"/>
  <c r="C116" i="1"/>
  <c r="B116" i="1"/>
  <c r="L115" i="1"/>
  <c r="S115" i="1" s="1"/>
  <c r="T115" i="1" s="1"/>
  <c r="D115" i="1"/>
  <c r="C115" i="1"/>
  <c r="B115" i="1"/>
  <c r="S114" i="1"/>
  <c r="U114" i="1" s="1"/>
  <c r="L114" i="1"/>
  <c r="D114" i="1"/>
  <c r="C114" i="1"/>
  <c r="B114" i="1"/>
  <c r="L113" i="1"/>
  <c r="D113" i="1"/>
  <c r="C113" i="1"/>
  <c r="B113" i="1"/>
  <c r="L112" i="1"/>
  <c r="D112" i="1"/>
  <c r="C112" i="1"/>
  <c r="B112" i="1"/>
  <c r="S111" i="1"/>
  <c r="M111" i="1"/>
  <c r="N111" i="1" s="1"/>
  <c r="O111" i="1" s="1"/>
  <c r="L111" i="1"/>
  <c r="D111" i="1"/>
  <c r="C111" i="1"/>
  <c r="B111" i="1"/>
  <c r="L110" i="1"/>
  <c r="D110" i="1"/>
  <c r="C110" i="1"/>
  <c r="B110" i="1"/>
  <c r="L109" i="1"/>
  <c r="D109" i="1"/>
  <c r="C109" i="1"/>
  <c r="B109" i="1"/>
  <c r="T108" i="1"/>
  <c r="L108" i="1"/>
  <c r="S108" i="1" s="1"/>
  <c r="U108" i="1" s="1"/>
  <c r="D108" i="1"/>
  <c r="C108" i="1"/>
  <c r="B108" i="1"/>
  <c r="U107" i="1"/>
  <c r="T107" i="1"/>
  <c r="L107" i="1"/>
  <c r="S107" i="1" s="1"/>
  <c r="D107" i="1"/>
  <c r="C107" i="1"/>
  <c r="B107" i="1"/>
  <c r="L106" i="1"/>
  <c r="D106" i="1"/>
  <c r="C106" i="1"/>
  <c r="B106" i="1"/>
  <c r="S105" i="1"/>
  <c r="M105" i="1"/>
  <c r="N105" i="1" s="1"/>
  <c r="O105" i="1" s="1"/>
  <c r="L105" i="1"/>
  <c r="D105" i="1"/>
  <c r="C105" i="1"/>
  <c r="B105" i="1"/>
  <c r="S104" i="1"/>
  <c r="U104" i="1" s="1"/>
  <c r="L104" i="1"/>
  <c r="M104" i="1" s="1"/>
  <c r="N104" i="1" s="1"/>
  <c r="O104" i="1" s="1"/>
  <c r="D104" i="1"/>
  <c r="C104" i="1"/>
  <c r="B104" i="1"/>
  <c r="L103" i="1"/>
  <c r="D103" i="1"/>
  <c r="C103" i="1"/>
  <c r="B103" i="1"/>
  <c r="S102" i="1"/>
  <c r="U102" i="1" s="1"/>
  <c r="L102" i="1"/>
  <c r="M102" i="1" s="1"/>
  <c r="N102" i="1" s="1"/>
  <c r="O102" i="1" s="1"/>
  <c r="D102" i="1"/>
  <c r="C102" i="1"/>
  <c r="B102" i="1"/>
  <c r="L101" i="1"/>
  <c r="D101" i="1"/>
  <c r="C101" i="1"/>
  <c r="B101" i="1"/>
  <c r="U100" i="1"/>
  <c r="S100" i="1"/>
  <c r="T100" i="1" s="1"/>
  <c r="M100" i="1"/>
  <c r="L100" i="1"/>
  <c r="D100" i="1"/>
  <c r="C100" i="1"/>
  <c r="B100" i="1"/>
  <c r="S99" i="1"/>
  <c r="U99" i="1" s="1"/>
  <c r="N99" i="1"/>
  <c r="O99" i="1" s="1"/>
  <c r="M99" i="1"/>
  <c r="L99" i="1"/>
  <c r="D99" i="1"/>
  <c r="C99" i="1"/>
  <c r="B99" i="1"/>
  <c r="L98" i="1"/>
  <c r="S98" i="1" s="1"/>
  <c r="D98" i="1"/>
  <c r="C98" i="1"/>
  <c r="B98" i="1"/>
  <c r="L97" i="1"/>
  <c r="S97" i="1" s="1"/>
  <c r="D97" i="1"/>
  <c r="C97" i="1"/>
  <c r="B97" i="1"/>
  <c r="S96" i="1"/>
  <c r="L96" i="1"/>
  <c r="D96" i="1"/>
  <c r="C96" i="1"/>
  <c r="B96" i="1"/>
  <c r="L95" i="1"/>
  <c r="D95" i="1"/>
  <c r="C95" i="1"/>
  <c r="B95" i="1"/>
  <c r="S94" i="1"/>
  <c r="L94" i="1"/>
  <c r="D94" i="1"/>
  <c r="C94" i="1"/>
  <c r="B94" i="1"/>
  <c r="U93" i="1"/>
  <c r="S93" i="1"/>
  <c r="T93" i="1" s="1"/>
  <c r="M93" i="1"/>
  <c r="N93" i="1" s="1"/>
  <c r="O93" i="1" s="1"/>
  <c r="L93" i="1"/>
  <c r="D93" i="1"/>
  <c r="C93" i="1"/>
  <c r="B93" i="1"/>
  <c r="L92" i="1"/>
  <c r="D92" i="1"/>
  <c r="C92" i="1"/>
  <c r="B92" i="1"/>
  <c r="S91" i="1"/>
  <c r="T91" i="1" s="1"/>
  <c r="M91" i="1"/>
  <c r="N91" i="1" s="1"/>
  <c r="O91" i="1" s="1"/>
  <c r="L91" i="1"/>
  <c r="D91" i="1"/>
  <c r="C91" i="1"/>
  <c r="B91" i="1"/>
  <c r="L90" i="1"/>
  <c r="D90" i="1"/>
  <c r="C90" i="1"/>
  <c r="B90" i="1"/>
  <c r="L89" i="1"/>
  <c r="S89" i="1" s="1"/>
  <c r="D89" i="1"/>
  <c r="C89" i="1"/>
  <c r="B89" i="1"/>
  <c r="L88" i="1"/>
  <c r="D88" i="1"/>
  <c r="C88" i="1"/>
  <c r="B88" i="1"/>
  <c r="S87" i="1"/>
  <c r="U87" i="1" s="1"/>
  <c r="M87" i="1"/>
  <c r="N87" i="1" s="1"/>
  <c r="O87" i="1" s="1"/>
  <c r="L87" i="1"/>
  <c r="D87" i="1"/>
  <c r="C87" i="1"/>
  <c r="B87" i="1"/>
  <c r="U86" i="1"/>
  <c r="T86" i="1"/>
  <c r="N86" i="1"/>
  <c r="O86" i="1" s="1"/>
  <c r="M86" i="1"/>
  <c r="L86" i="1"/>
  <c r="S86" i="1" s="1"/>
  <c r="D86" i="1"/>
  <c r="C86" i="1"/>
  <c r="B86" i="1"/>
  <c r="L85" i="1"/>
  <c r="D85" i="1"/>
  <c r="C85" i="1"/>
  <c r="B85" i="1"/>
  <c r="L84" i="1"/>
  <c r="D84" i="1"/>
  <c r="C84" i="1"/>
  <c r="B84" i="1"/>
  <c r="L83" i="1"/>
  <c r="S83" i="1" s="1"/>
  <c r="D83" i="1"/>
  <c r="C83" i="1"/>
  <c r="B83" i="1"/>
  <c r="L82" i="1"/>
  <c r="D82" i="1"/>
  <c r="C82" i="1"/>
  <c r="B82" i="1"/>
  <c r="U81" i="1"/>
  <c r="S81" i="1"/>
  <c r="T81" i="1" s="1"/>
  <c r="M81" i="1"/>
  <c r="N81" i="1" s="1"/>
  <c r="O81" i="1" s="1"/>
  <c r="L81" i="1"/>
  <c r="D81" i="1"/>
  <c r="C81" i="1"/>
  <c r="B81" i="1"/>
  <c r="S80" i="1"/>
  <c r="L80" i="1"/>
  <c r="M80" i="1" s="1"/>
  <c r="D80" i="1"/>
  <c r="C80" i="1"/>
  <c r="B80" i="1"/>
  <c r="L79" i="1"/>
  <c r="D79" i="1"/>
  <c r="C79" i="1"/>
  <c r="B79" i="1"/>
  <c r="L78" i="1"/>
  <c r="S78" i="1" s="1"/>
  <c r="D78" i="1"/>
  <c r="C78" i="1"/>
  <c r="B78" i="1"/>
  <c r="M77" i="1"/>
  <c r="N77" i="1" s="1"/>
  <c r="O77" i="1" s="1"/>
  <c r="L77" i="1"/>
  <c r="S77" i="1" s="1"/>
  <c r="D77" i="1"/>
  <c r="C77" i="1"/>
  <c r="B77" i="1"/>
  <c r="S76" i="1"/>
  <c r="U76" i="1" s="1"/>
  <c r="M76" i="1"/>
  <c r="L76" i="1"/>
  <c r="D76" i="1"/>
  <c r="C76" i="1"/>
  <c r="B76" i="1"/>
  <c r="S75" i="1"/>
  <c r="U75" i="1" s="1"/>
  <c r="M75" i="1"/>
  <c r="N75" i="1" s="1"/>
  <c r="O75" i="1" s="1"/>
  <c r="L75" i="1"/>
  <c r="D75" i="1"/>
  <c r="C75" i="1"/>
  <c r="B75" i="1"/>
  <c r="L74" i="1"/>
  <c r="D74" i="1"/>
  <c r="C74" i="1"/>
  <c r="B74" i="1"/>
  <c r="S73" i="1"/>
  <c r="M73" i="1"/>
  <c r="N73" i="1" s="1"/>
  <c r="O73" i="1" s="1"/>
  <c r="L73" i="1"/>
  <c r="D73" i="1"/>
  <c r="C73" i="1"/>
  <c r="B73" i="1"/>
  <c r="L72" i="1"/>
  <c r="D72" i="1"/>
  <c r="C72" i="1"/>
  <c r="B72" i="1"/>
  <c r="L71" i="1"/>
  <c r="M71" i="1" s="1"/>
  <c r="D71" i="1"/>
  <c r="C71" i="1"/>
  <c r="B71" i="1"/>
  <c r="S70" i="1"/>
  <c r="U70" i="1" s="1"/>
  <c r="M70" i="1"/>
  <c r="L70" i="1"/>
  <c r="D70" i="1"/>
  <c r="C70" i="1"/>
  <c r="B70" i="1"/>
  <c r="U69" i="1"/>
  <c r="S69" i="1"/>
  <c r="T69" i="1" s="1"/>
  <c r="M69" i="1"/>
  <c r="N69" i="1" s="1"/>
  <c r="O69" i="1" s="1"/>
  <c r="L69" i="1"/>
  <c r="D69" i="1"/>
  <c r="C69" i="1"/>
  <c r="B69" i="1"/>
  <c r="L68" i="1"/>
  <c r="D68" i="1"/>
  <c r="C68" i="1"/>
  <c r="B68" i="1"/>
  <c r="S67" i="1"/>
  <c r="N67" i="1"/>
  <c r="O67" i="1" s="1"/>
  <c r="M67" i="1"/>
  <c r="L67" i="1"/>
  <c r="D67" i="1"/>
  <c r="C67" i="1"/>
  <c r="B67" i="1"/>
  <c r="L66" i="1"/>
  <c r="D66" i="1"/>
  <c r="C66" i="1"/>
  <c r="B66" i="1"/>
  <c r="M65" i="1"/>
  <c r="L65" i="1"/>
  <c r="D65" i="1"/>
  <c r="C65" i="1"/>
  <c r="B65" i="1"/>
  <c r="L64" i="1"/>
  <c r="D64" i="1"/>
  <c r="C64" i="1"/>
  <c r="B64" i="1"/>
  <c r="T63" i="1"/>
  <c r="S63" i="1"/>
  <c r="U63" i="1" s="1"/>
  <c r="M63" i="1"/>
  <c r="N63" i="1" s="1"/>
  <c r="O63" i="1" s="1"/>
  <c r="L63" i="1"/>
  <c r="D63" i="1"/>
  <c r="C63" i="1"/>
  <c r="B63" i="1"/>
  <c r="L62" i="1"/>
  <c r="S62" i="1" s="1"/>
  <c r="D62" i="1"/>
  <c r="C62" i="1"/>
  <c r="B62" i="1"/>
  <c r="S61" i="1"/>
  <c r="M61" i="1"/>
  <c r="L61" i="1"/>
  <c r="D61" i="1"/>
  <c r="C61" i="1"/>
  <c r="B61" i="1"/>
  <c r="S60" i="1"/>
  <c r="U60" i="1" s="1"/>
  <c r="L60" i="1"/>
  <c r="D60" i="1"/>
  <c r="C60" i="1"/>
  <c r="B60" i="1"/>
  <c r="L59" i="1"/>
  <c r="D59" i="1"/>
  <c r="C59" i="1"/>
  <c r="B59" i="1"/>
  <c r="S58" i="1"/>
  <c r="U58" i="1" s="1"/>
  <c r="M58" i="1"/>
  <c r="L58" i="1"/>
  <c r="D58" i="1"/>
  <c r="C58" i="1"/>
  <c r="B58" i="1"/>
  <c r="U57" i="1"/>
  <c r="S57" i="1"/>
  <c r="T57" i="1" s="1"/>
  <c r="N57" i="1"/>
  <c r="O57" i="1" s="1"/>
  <c r="M57" i="1"/>
  <c r="L57" i="1"/>
  <c r="D57" i="1"/>
  <c r="C57" i="1"/>
  <c r="B57" i="1"/>
  <c r="S56" i="1"/>
  <c r="U56" i="1" s="1"/>
  <c r="L56" i="1"/>
  <c r="M56" i="1" s="1"/>
  <c r="D56" i="1"/>
  <c r="C56" i="1"/>
  <c r="B56" i="1"/>
  <c r="U55" i="1"/>
  <c r="T55" i="1"/>
  <c r="S55" i="1"/>
  <c r="L55" i="1"/>
  <c r="D55" i="1"/>
  <c r="C55" i="1"/>
  <c r="B55" i="1"/>
  <c r="L54" i="1"/>
  <c r="S54" i="1" s="1"/>
  <c r="D54" i="1"/>
  <c r="C54" i="1"/>
  <c r="B54" i="1"/>
  <c r="L53" i="1"/>
  <c r="S53" i="1" s="1"/>
  <c r="D53" i="1"/>
  <c r="C53" i="1"/>
  <c r="B53" i="1"/>
  <c r="S52" i="1"/>
  <c r="U52" i="1" s="1"/>
  <c r="L52" i="1"/>
  <c r="D52" i="1"/>
  <c r="C52" i="1"/>
  <c r="B52" i="1"/>
  <c r="S51" i="1"/>
  <c r="U51" i="1" s="1"/>
  <c r="M51" i="1"/>
  <c r="N51" i="1" s="1"/>
  <c r="O51" i="1" s="1"/>
  <c r="L51" i="1"/>
  <c r="D51" i="1"/>
  <c r="C51" i="1"/>
  <c r="B51" i="1"/>
  <c r="L50" i="1"/>
  <c r="S50" i="1" s="1"/>
  <c r="D50" i="1"/>
  <c r="C50" i="1"/>
  <c r="B50" i="1"/>
  <c r="S49" i="1"/>
  <c r="L49" i="1"/>
  <c r="D49" i="1"/>
  <c r="C49" i="1"/>
  <c r="B49" i="1"/>
  <c r="L48" i="1"/>
  <c r="D48" i="1"/>
  <c r="C48" i="1"/>
  <c r="B48" i="1"/>
  <c r="U47" i="1"/>
  <c r="L47" i="1"/>
  <c r="S47" i="1" s="1"/>
  <c r="T47" i="1" s="1"/>
  <c r="D47" i="1"/>
  <c r="C47" i="1"/>
  <c r="B47" i="1"/>
  <c r="L46" i="1"/>
  <c r="D46" i="1"/>
  <c r="C46" i="1"/>
  <c r="B46" i="1"/>
  <c r="U45" i="1"/>
  <c r="S45" i="1"/>
  <c r="T45" i="1" s="1"/>
  <c r="M45" i="1"/>
  <c r="N45" i="1" s="1"/>
  <c r="O45" i="1" s="1"/>
  <c r="L45" i="1"/>
  <c r="D45" i="1"/>
  <c r="C45" i="1"/>
  <c r="B45" i="1"/>
  <c r="L44" i="1"/>
  <c r="D44" i="1"/>
  <c r="C44" i="1"/>
  <c r="B44" i="1"/>
  <c r="S43" i="1"/>
  <c r="U43" i="1" s="1"/>
  <c r="N43" i="1"/>
  <c r="O43" i="1" s="1"/>
  <c r="L43" i="1"/>
  <c r="M43" i="1" s="1"/>
  <c r="D43" i="1"/>
  <c r="C43" i="1"/>
  <c r="B43" i="1"/>
  <c r="L42" i="1"/>
  <c r="D42" i="1"/>
  <c r="C42" i="1"/>
  <c r="B42" i="1"/>
  <c r="L41" i="1"/>
  <c r="S41" i="1" s="1"/>
  <c r="D41" i="1"/>
  <c r="C41" i="1"/>
  <c r="B41" i="1"/>
  <c r="S40" i="1"/>
  <c r="L40" i="1"/>
  <c r="D40" i="1"/>
  <c r="C40" i="1"/>
  <c r="B40" i="1"/>
  <c r="S39" i="1"/>
  <c r="U39" i="1" s="1"/>
  <c r="M39" i="1"/>
  <c r="N39" i="1" s="1"/>
  <c r="O39" i="1" s="1"/>
  <c r="L39" i="1"/>
  <c r="D39" i="1"/>
  <c r="C39" i="1"/>
  <c r="B39" i="1"/>
  <c r="L38" i="1"/>
  <c r="S38" i="1" s="1"/>
  <c r="U38" i="1" s="1"/>
  <c r="D38" i="1"/>
  <c r="C38" i="1"/>
  <c r="B38" i="1"/>
  <c r="S37" i="1"/>
  <c r="M37" i="1"/>
  <c r="N37" i="1" s="1"/>
  <c r="O37" i="1" s="1"/>
  <c r="L37" i="1"/>
  <c r="D37" i="1"/>
  <c r="C37" i="1"/>
  <c r="B37" i="1"/>
  <c r="L36" i="1"/>
  <c r="D36" i="1"/>
  <c r="C36" i="1"/>
  <c r="B36" i="1"/>
  <c r="U35" i="1"/>
  <c r="T35" i="1"/>
  <c r="L35" i="1"/>
  <c r="S35" i="1" s="1"/>
  <c r="D35" i="1"/>
  <c r="C35" i="1"/>
  <c r="B35" i="1"/>
  <c r="L34" i="1"/>
  <c r="D34" i="1"/>
  <c r="C34" i="1"/>
  <c r="B34" i="1"/>
  <c r="U33" i="1"/>
  <c r="S33" i="1"/>
  <c r="T33" i="1" s="1"/>
  <c r="M33" i="1"/>
  <c r="N33" i="1" s="1"/>
  <c r="O33" i="1" s="1"/>
  <c r="L33" i="1"/>
  <c r="D33" i="1"/>
  <c r="C33" i="1"/>
  <c r="B33" i="1"/>
  <c r="S32" i="1"/>
  <c r="U32" i="1" s="1"/>
  <c r="L32" i="1"/>
  <c r="D32" i="1"/>
  <c r="C32" i="1"/>
  <c r="B32" i="1"/>
  <c r="S31" i="1"/>
  <c r="U31" i="1" s="1"/>
  <c r="N31" i="1"/>
  <c r="O31" i="1" s="1"/>
  <c r="L31" i="1"/>
  <c r="M31" i="1" s="1"/>
  <c r="D31" i="1"/>
  <c r="C31" i="1"/>
  <c r="B31" i="1"/>
  <c r="L30" i="1"/>
  <c r="S30" i="1" s="1"/>
  <c r="D30" i="1"/>
  <c r="C30" i="1"/>
  <c r="B30" i="1"/>
  <c r="L29" i="1"/>
  <c r="S29" i="1" s="1"/>
  <c r="D29" i="1"/>
  <c r="C29" i="1"/>
  <c r="B29" i="1"/>
  <c r="S28" i="1"/>
  <c r="U28" i="1" s="1"/>
  <c r="L28" i="1"/>
  <c r="D28" i="1"/>
  <c r="C28" i="1"/>
  <c r="B28" i="1"/>
  <c r="U27" i="1"/>
  <c r="T27" i="1"/>
  <c r="S27" i="1"/>
  <c r="M27" i="1"/>
  <c r="N27" i="1" s="1"/>
  <c r="O27" i="1" s="1"/>
  <c r="L27" i="1"/>
  <c r="D27" i="1"/>
  <c r="C27" i="1"/>
  <c r="B27" i="1"/>
  <c r="S26" i="1"/>
  <c r="U26" i="1" s="1"/>
  <c r="L26" i="1"/>
  <c r="D26" i="1"/>
  <c r="C26" i="1"/>
  <c r="B26" i="1"/>
  <c r="L25" i="1"/>
  <c r="S25" i="1" s="1"/>
  <c r="D25" i="1"/>
  <c r="C25" i="1"/>
  <c r="B25" i="1"/>
  <c r="L24" i="1"/>
  <c r="D24" i="1"/>
  <c r="C24" i="1"/>
  <c r="B24" i="1"/>
  <c r="U23" i="1"/>
  <c r="T23" i="1"/>
  <c r="L23" i="1"/>
  <c r="S23" i="1" s="1"/>
  <c r="D23" i="1"/>
  <c r="C23" i="1"/>
  <c r="B23" i="1"/>
  <c r="L22" i="1"/>
  <c r="D22" i="1"/>
  <c r="C22" i="1"/>
  <c r="B22" i="1"/>
  <c r="U21" i="1"/>
  <c r="S21" i="1"/>
  <c r="T21" i="1" s="1"/>
  <c r="M21" i="1"/>
  <c r="N21" i="1" s="1"/>
  <c r="O21" i="1" s="1"/>
  <c r="L21" i="1"/>
  <c r="D21" i="1"/>
  <c r="C21" i="1"/>
  <c r="B21" i="1"/>
  <c r="L20" i="1"/>
  <c r="D20" i="1"/>
  <c r="C20" i="1"/>
  <c r="B20" i="1"/>
  <c r="S19" i="1"/>
  <c r="U19" i="1" s="1"/>
  <c r="L19" i="1"/>
  <c r="M19" i="1" s="1"/>
  <c r="N19" i="1" s="1"/>
  <c r="O19" i="1" s="1"/>
  <c r="D19" i="1"/>
  <c r="C19" i="1"/>
  <c r="B19" i="1"/>
  <c r="S18" i="1"/>
  <c r="L18" i="1"/>
  <c r="D18" i="1"/>
  <c r="C18" i="1"/>
  <c r="B18" i="1"/>
  <c r="L17" i="1"/>
  <c r="S17" i="1" s="1"/>
  <c r="D17" i="1"/>
  <c r="C17" i="1"/>
  <c r="B17" i="1"/>
  <c r="S16" i="1"/>
  <c r="U16" i="1" s="1"/>
  <c r="L16" i="1"/>
  <c r="D16" i="1"/>
  <c r="C16" i="1"/>
  <c r="B16" i="1"/>
  <c r="U15" i="1"/>
  <c r="S15" i="1"/>
  <c r="T15" i="1" s="1"/>
  <c r="M15" i="1"/>
  <c r="N15" i="1" s="1"/>
  <c r="O15" i="1" s="1"/>
  <c r="L15" i="1"/>
  <c r="D15" i="1"/>
  <c r="C15" i="1"/>
  <c r="B15" i="1"/>
  <c r="S14" i="1"/>
  <c r="U14" i="1" s="1"/>
  <c r="M14" i="1"/>
  <c r="N14" i="1" s="1"/>
  <c r="O14" i="1" s="1"/>
  <c r="L14" i="1"/>
  <c r="D14" i="1"/>
  <c r="C14" i="1"/>
  <c r="B14" i="1"/>
  <c r="L13" i="1"/>
  <c r="S13" i="1" s="1"/>
  <c r="D13" i="1"/>
  <c r="C13" i="1"/>
  <c r="B13" i="1"/>
  <c r="L12" i="1"/>
  <c r="D12" i="1"/>
  <c r="C12" i="1"/>
  <c r="B12" i="1"/>
  <c r="L11" i="1"/>
  <c r="S11" i="1" s="1"/>
  <c r="U11" i="1" s="1"/>
  <c r="D11" i="1"/>
  <c r="C11" i="1"/>
  <c r="B11" i="1"/>
  <c r="L10" i="1"/>
  <c r="D10" i="1"/>
  <c r="C10" i="1"/>
  <c r="B10" i="1"/>
  <c r="U9" i="1"/>
  <c r="S9" i="1"/>
  <c r="T9" i="1" s="1"/>
  <c r="N9" i="1"/>
  <c r="O9" i="1" s="1"/>
  <c r="M9" i="1"/>
  <c r="L9" i="1"/>
  <c r="D9" i="1"/>
  <c r="C9" i="1"/>
  <c r="B9" i="1"/>
  <c r="L8" i="1"/>
  <c r="D8" i="1"/>
  <c r="C8" i="1"/>
  <c r="B8" i="1"/>
  <c r="S7" i="1"/>
  <c r="U7" i="1" s="1"/>
  <c r="L7" i="1"/>
  <c r="M7" i="1" s="1"/>
  <c r="N7" i="1" s="1"/>
  <c r="O7" i="1" s="1"/>
  <c r="D7" i="1"/>
  <c r="C7" i="1"/>
  <c r="B7" i="1"/>
  <c r="S6" i="1"/>
  <c r="L6" i="1"/>
  <c r="M6" i="1" s="1"/>
  <c r="N6" i="1" s="1"/>
  <c r="O6" i="1" s="1"/>
  <c r="D6" i="1"/>
  <c r="C6" i="1"/>
  <c r="B6" i="1"/>
  <c r="L5" i="1"/>
  <c r="D5" i="1"/>
  <c r="C5" i="1"/>
  <c r="B5" i="1"/>
  <c r="U4" i="1"/>
  <c r="S4" i="1"/>
  <c r="T4" i="1" s="1"/>
  <c r="L4" i="1"/>
  <c r="D4" i="1"/>
  <c r="C4" i="1"/>
  <c r="B4" i="1"/>
  <c r="S3" i="1"/>
  <c r="U3" i="1" s="1"/>
  <c r="M3" i="1"/>
  <c r="N3" i="1" s="1"/>
  <c r="O3" i="1" s="1"/>
  <c r="L3" i="1"/>
  <c r="D3" i="1"/>
  <c r="C3" i="1"/>
  <c r="B3" i="1"/>
  <c r="L2" i="1"/>
  <c r="S2" i="1" s="1"/>
  <c r="D2" i="1"/>
  <c r="C2" i="1"/>
  <c r="B2" i="1"/>
  <c r="U2" i="1" l="1"/>
  <c r="T2" i="1"/>
  <c r="T67" i="1"/>
  <c r="U67" i="1"/>
  <c r="S90" i="1"/>
  <c r="M90" i="1"/>
  <c r="N90" i="1" s="1"/>
  <c r="O90" i="1" s="1"/>
  <c r="U94" i="1"/>
  <c r="T94" i="1"/>
  <c r="S174" i="1"/>
  <c r="N174" i="1"/>
  <c r="O174" i="1" s="1"/>
  <c r="M174" i="1"/>
  <c r="U178" i="1"/>
  <c r="T178" i="1"/>
  <c r="S185" i="1"/>
  <c r="M185" i="1"/>
  <c r="N185" i="1" s="1"/>
  <c r="O185" i="1" s="1"/>
  <c r="N199" i="1"/>
  <c r="O199" i="1" s="1"/>
  <c r="U6" i="1"/>
  <c r="T6" i="1"/>
  <c r="U29" i="1"/>
  <c r="T29" i="1"/>
  <c r="U73" i="1"/>
  <c r="T73" i="1"/>
  <c r="M88" i="1"/>
  <c r="N88" i="1" s="1"/>
  <c r="O88" i="1" s="1"/>
  <c r="U97" i="1"/>
  <c r="T97" i="1"/>
  <c r="T147" i="1"/>
  <c r="S156" i="1"/>
  <c r="N156" i="1"/>
  <c r="O156" i="1" s="1"/>
  <c r="T212" i="1"/>
  <c r="T14" i="1"/>
  <c r="M20" i="1"/>
  <c r="N20" i="1" s="1"/>
  <c r="O20" i="1" s="1"/>
  <c r="M29" i="1"/>
  <c r="U49" i="1"/>
  <c r="T49" i="1"/>
  <c r="S88" i="1"/>
  <c r="M156" i="1"/>
  <c r="M161" i="1"/>
  <c r="N161" i="1" s="1"/>
  <c r="O161" i="1" s="1"/>
  <c r="S163" i="1"/>
  <c r="N163" i="1"/>
  <c r="O163" i="1" s="1"/>
  <c r="N188" i="1"/>
  <c r="O188" i="1" s="1"/>
  <c r="U13" i="1"/>
  <c r="T13" i="1"/>
  <c r="S20" i="1"/>
  <c r="N29" i="1"/>
  <c r="O29" i="1" s="1"/>
  <c r="T43" i="1"/>
  <c r="U54" i="1"/>
  <c r="T54" i="1"/>
  <c r="U80" i="1"/>
  <c r="T80" i="1"/>
  <c r="U126" i="1"/>
  <c r="T126" i="1"/>
  <c r="U154" i="1"/>
  <c r="T154" i="1"/>
  <c r="M163" i="1"/>
  <c r="S170" i="1"/>
  <c r="U188" i="1"/>
  <c r="T188" i="1"/>
  <c r="T199" i="1"/>
  <c r="M13" i="1"/>
  <c r="U18" i="1"/>
  <c r="T18" i="1"/>
  <c r="M22" i="1"/>
  <c r="N22" i="1" s="1"/>
  <c r="O22" i="1" s="1"/>
  <c r="S22" i="1"/>
  <c r="M54" i="1"/>
  <c r="N54" i="1" s="1"/>
  <c r="O54" i="1" s="1"/>
  <c r="S66" i="1"/>
  <c r="M66" i="1"/>
  <c r="N66" i="1" s="1"/>
  <c r="O66" i="1" s="1"/>
  <c r="S95" i="1"/>
  <c r="M95" i="1"/>
  <c r="N95" i="1" s="1"/>
  <c r="O95" i="1" s="1"/>
  <c r="S101" i="1"/>
  <c r="M101" i="1"/>
  <c r="N101" i="1" s="1"/>
  <c r="O101" i="1" s="1"/>
  <c r="U122" i="1"/>
  <c r="T122" i="1"/>
  <c r="M124" i="1"/>
  <c r="N124" i="1" s="1"/>
  <c r="O124" i="1" s="1"/>
  <c r="M126" i="1"/>
  <c r="N126" i="1" s="1"/>
  <c r="O126" i="1" s="1"/>
  <c r="M170" i="1"/>
  <c r="N170" i="1" s="1"/>
  <c r="O170" i="1" s="1"/>
  <c r="S5" i="1"/>
  <c r="N5" i="1"/>
  <c r="O5" i="1" s="1"/>
  <c r="M11" i="1"/>
  <c r="N11" i="1" s="1"/>
  <c r="O11" i="1" s="1"/>
  <c r="N13" i="1"/>
  <c r="O13" i="1" s="1"/>
  <c r="U37" i="1"/>
  <c r="T37" i="1"/>
  <c r="M72" i="1"/>
  <c r="N72" i="1" s="1"/>
  <c r="O72" i="1" s="1"/>
  <c r="S74" i="1"/>
  <c r="M74" i="1"/>
  <c r="N74" i="1" s="1"/>
  <c r="O74" i="1" s="1"/>
  <c r="S85" i="1"/>
  <c r="U98" i="1"/>
  <c r="T98" i="1"/>
  <c r="T99" i="1"/>
  <c r="S124" i="1"/>
  <c r="M133" i="1"/>
  <c r="N133" i="1" s="1"/>
  <c r="O133" i="1" s="1"/>
  <c r="S133" i="1"/>
  <c r="S144" i="1"/>
  <c r="N144" i="1"/>
  <c r="O144" i="1" s="1"/>
  <c r="T150" i="1"/>
  <c r="U159" i="1"/>
  <c r="T159" i="1"/>
  <c r="T161" i="1"/>
  <c r="M2" i="1"/>
  <c r="N2" i="1" s="1"/>
  <c r="O2" i="1" s="1"/>
  <c r="T3" i="1"/>
  <c r="M5" i="1"/>
  <c r="U50" i="1"/>
  <c r="T50" i="1"/>
  <c r="T52" i="1"/>
  <c r="U62" i="1"/>
  <c r="T62" i="1"/>
  <c r="U83" i="1"/>
  <c r="T83" i="1"/>
  <c r="M85" i="1"/>
  <c r="N85" i="1" s="1"/>
  <c r="O85" i="1" s="1"/>
  <c r="M98" i="1"/>
  <c r="S110" i="1"/>
  <c r="M110" i="1"/>
  <c r="N110" i="1" s="1"/>
  <c r="O110" i="1" s="1"/>
  <c r="M144" i="1"/>
  <c r="U198" i="1"/>
  <c r="T198" i="1"/>
  <c r="U218" i="1"/>
  <c r="T218" i="1"/>
  <c r="T11" i="1"/>
  <c r="T26" i="1"/>
  <c r="U30" i="1"/>
  <c r="T30" i="1"/>
  <c r="S42" i="1"/>
  <c r="M42" i="1"/>
  <c r="N42" i="1" s="1"/>
  <c r="O42" i="1" s="1"/>
  <c r="M46" i="1"/>
  <c r="N46" i="1" s="1"/>
  <c r="O46" i="1" s="1"/>
  <c r="M62" i="1"/>
  <c r="M64" i="1"/>
  <c r="N64" i="1" s="1"/>
  <c r="O64" i="1" s="1"/>
  <c r="S64" i="1"/>
  <c r="S72" i="1"/>
  <c r="M83" i="1"/>
  <c r="N83" i="1" s="1"/>
  <c r="O83" i="1" s="1"/>
  <c r="N98" i="1"/>
  <c r="O98" i="1" s="1"/>
  <c r="S119" i="1"/>
  <c r="M119" i="1"/>
  <c r="N119" i="1" s="1"/>
  <c r="O119" i="1" s="1"/>
  <c r="M121" i="1"/>
  <c r="U140" i="1"/>
  <c r="T140" i="1"/>
  <c r="N164" i="1"/>
  <c r="O164" i="1" s="1"/>
  <c r="M198" i="1"/>
  <c r="N198" i="1" s="1"/>
  <c r="O198" i="1" s="1"/>
  <c r="S211" i="1"/>
  <c r="M211" i="1"/>
  <c r="N211" i="1"/>
  <c r="O211" i="1" s="1"/>
  <c r="M218" i="1"/>
  <c r="N218" i="1" s="1"/>
  <c r="O218" i="1" s="1"/>
  <c r="M220" i="1"/>
  <c r="N220" i="1" s="1"/>
  <c r="O220" i="1" s="1"/>
  <c r="S220" i="1"/>
  <c r="T32" i="1"/>
  <c r="M34" i="1"/>
  <c r="N34" i="1" s="1"/>
  <c r="O34" i="1" s="1"/>
  <c r="M48" i="1"/>
  <c r="N48" i="1" s="1"/>
  <c r="O48" i="1" s="1"/>
  <c r="S48" i="1"/>
  <c r="T60" i="1"/>
  <c r="N62" i="1"/>
  <c r="O62" i="1" s="1"/>
  <c r="T70" i="1"/>
  <c r="U91" i="1"/>
  <c r="S106" i="1"/>
  <c r="S113" i="1"/>
  <c r="N121" i="1"/>
  <c r="O121" i="1" s="1"/>
  <c r="M140" i="1"/>
  <c r="S173" i="1"/>
  <c r="M173" i="1"/>
  <c r="N173" i="1"/>
  <c r="O173" i="1" s="1"/>
  <c r="T175" i="1"/>
  <c r="S182" i="1"/>
  <c r="M182" i="1"/>
  <c r="N182" i="1" s="1"/>
  <c r="O182" i="1" s="1"/>
  <c r="S209" i="1"/>
  <c r="U17" i="1"/>
  <c r="T17" i="1"/>
  <c r="T25" i="1"/>
  <c r="U25" i="1"/>
  <c r="S46" i="1"/>
  <c r="T58" i="1"/>
  <c r="S79" i="1"/>
  <c r="M79" i="1"/>
  <c r="N79" i="1" s="1"/>
  <c r="O79" i="1" s="1"/>
  <c r="U96" i="1"/>
  <c r="T96" i="1"/>
  <c r="M106" i="1"/>
  <c r="N106" i="1" s="1"/>
  <c r="O106" i="1" s="1"/>
  <c r="M113" i="1"/>
  <c r="N113" i="1" s="1"/>
  <c r="O113" i="1" s="1"/>
  <c r="T121" i="1"/>
  <c r="N140" i="1"/>
  <c r="O140" i="1" s="1"/>
  <c r="N142" i="1"/>
  <c r="O142" i="1" s="1"/>
  <c r="S142" i="1"/>
  <c r="M142" i="1"/>
  <c r="U194" i="1"/>
  <c r="T194" i="1"/>
  <c r="U202" i="1"/>
  <c r="T202" i="1"/>
  <c r="M209" i="1"/>
  <c r="N209" i="1" s="1"/>
  <c r="O209" i="1" s="1"/>
  <c r="M8" i="1"/>
  <c r="N8" i="1"/>
  <c r="O8" i="1" s="1"/>
  <c r="M17" i="1"/>
  <c r="N17" i="1" s="1"/>
  <c r="O17" i="1" s="1"/>
  <c r="M23" i="1"/>
  <c r="N23" i="1" s="1"/>
  <c r="O23" i="1" s="1"/>
  <c r="M25" i="1"/>
  <c r="N25" i="1" s="1"/>
  <c r="O25" i="1" s="1"/>
  <c r="S34" i="1"/>
  <c r="T38" i="1"/>
  <c r="U40" i="1"/>
  <c r="T40" i="1"/>
  <c r="T104" i="1"/>
  <c r="T117" i="1"/>
  <c r="T138" i="1"/>
  <c r="S149" i="1"/>
  <c r="M149" i="1"/>
  <c r="N149" i="1" s="1"/>
  <c r="O149" i="1" s="1"/>
  <c r="S158" i="1"/>
  <c r="N158" i="1"/>
  <c r="O158" i="1" s="1"/>
  <c r="T164" i="1"/>
  <c r="M194" i="1"/>
  <c r="M196" i="1"/>
  <c r="N196" i="1" s="1"/>
  <c r="O196" i="1" s="1"/>
  <c r="S196" i="1"/>
  <c r="S8" i="1"/>
  <c r="T102" i="1"/>
  <c r="M158" i="1"/>
  <c r="N194" i="1"/>
  <c r="O194" i="1" s="1"/>
  <c r="N212" i="1"/>
  <c r="O212" i="1" s="1"/>
  <c r="S59" i="1"/>
  <c r="N82" i="1"/>
  <c r="O82" i="1" s="1"/>
  <c r="U146" i="1"/>
  <c r="T146" i="1"/>
  <c r="N160" i="1"/>
  <c r="O160" i="1" s="1"/>
  <c r="M10" i="1"/>
  <c r="N10" i="1" s="1"/>
  <c r="O10" i="1" s="1"/>
  <c r="T31" i="1"/>
  <c r="M36" i="1"/>
  <c r="N36" i="1" s="1"/>
  <c r="O36" i="1" s="1"/>
  <c r="M50" i="1"/>
  <c r="N50" i="1" s="1"/>
  <c r="O50" i="1" s="1"/>
  <c r="M59" i="1"/>
  <c r="N59" i="1" s="1"/>
  <c r="O59" i="1" s="1"/>
  <c r="M82" i="1"/>
  <c r="N92" i="1"/>
  <c r="O92" i="1" s="1"/>
  <c r="M97" i="1"/>
  <c r="N97" i="1" s="1"/>
  <c r="O97" i="1" s="1"/>
  <c r="S103" i="1"/>
  <c r="N103" i="1"/>
  <c r="O103" i="1" s="1"/>
  <c r="N112" i="1"/>
  <c r="O112" i="1" s="1"/>
  <c r="M115" i="1"/>
  <c r="N115" i="1" s="1"/>
  <c r="O115" i="1" s="1"/>
  <c r="T116" i="1"/>
  <c r="U135" i="1"/>
  <c r="T135" i="1"/>
  <c r="S137" i="1"/>
  <c r="M146" i="1"/>
  <c r="M160" i="1"/>
  <c r="U183" i="1"/>
  <c r="T183" i="1"/>
  <c r="T205" i="1"/>
  <c r="U207" i="1"/>
  <c r="T207" i="1"/>
  <c r="T28" i="1"/>
  <c r="M30" i="1"/>
  <c r="N30" i="1" s="1"/>
  <c r="O30" i="1" s="1"/>
  <c r="S36" i="1"/>
  <c r="M92" i="1"/>
  <c r="M103" i="1"/>
  <c r="M112" i="1"/>
  <c r="S118" i="1"/>
  <c r="S125" i="1"/>
  <c r="N125" i="1"/>
  <c r="O125" i="1" s="1"/>
  <c r="N130" i="1"/>
  <c r="O130" i="1" s="1"/>
  <c r="M137" i="1"/>
  <c r="N137" i="1" s="1"/>
  <c r="O137" i="1" s="1"/>
  <c r="N146" i="1"/>
  <c r="O146" i="1" s="1"/>
  <c r="M172" i="1"/>
  <c r="N172" i="1" s="1"/>
  <c r="O172" i="1" s="1"/>
  <c r="T181" i="1"/>
  <c r="S191" i="1"/>
  <c r="M191" i="1"/>
  <c r="N191" i="1" s="1"/>
  <c r="O191" i="1" s="1"/>
  <c r="S215" i="1"/>
  <c r="M215" i="1"/>
  <c r="N215" i="1" s="1"/>
  <c r="O215" i="1" s="1"/>
  <c r="S10" i="1"/>
  <c r="T19" i="1"/>
  <c r="M24" i="1"/>
  <c r="N24" i="1" s="1"/>
  <c r="O24" i="1" s="1"/>
  <c r="M38" i="1"/>
  <c r="T51" i="1"/>
  <c r="U53" i="1"/>
  <c r="T53" i="1"/>
  <c r="S82" i="1"/>
  <c r="S92" i="1"/>
  <c r="M118" i="1"/>
  <c r="N118" i="1" s="1"/>
  <c r="O118" i="1" s="1"/>
  <c r="S120" i="1"/>
  <c r="M120" i="1"/>
  <c r="N120" i="1" s="1"/>
  <c r="O120" i="1" s="1"/>
  <c r="M125" i="1"/>
  <c r="M127" i="1"/>
  <c r="T128" i="1"/>
  <c r="M130" i="1"/>
  <c r="S160" i="1"/>
  <c r="S167" i="1"/>
  <c r="M167" i="1"/>
  <c r="N167" i="1" s="1"/>
  <c r="O167" i="1" s="1"/>
  <c r="S172" i="1"/>
  <c r="S217" i="1"/>
  <c r="T16" i="1"/>
  <c r="M18" i="1"/>
  <c r="N18" i="1" s="1"/>
  <c r="O18" i="1" s="1"/>
  <c r="S24" i="1"/>
  <c r="N38" i="1"/>
  <c r="O38" i="1" s="1"/>
  <c r="M44" i="1"/>
  <c r="N44" i="1"/>
  <c r="O44" i="1" s="1"/>
  <c r="M47" i="1"/>
  <c r="M53" i="1"/>
  <c r="U61" i="1"/>
  <c r="T61" i="1"/>
  <c r="S68" i="1"/>
  <c r="U78" i="1"/>
  <c r="T78" i="1"/>
  <c r="U89" i="1"/>
  <c r="T89" i="1"/>
  <c r="M109" i="1"/>
  <c r="N109" i="1" s="1"/>
  <c r="O109" i="1" s="1"/>
  <c r="S112" i="1"/>
  <c r="U115" i="1"/>
  <c r="N127" i="1"/>
  <c r="O127" i="1" s="1"/>
  <c r="M132" i="1"/>
  <c r="N132" i="1" s="1"/>
  <c r="O132" i="1" s="1"/>
  <c r="N148" i="1"/>
  <c r="O148" i="1" s="1"/>
  <c r="M148" i="1"/>
  <c r="T151" i="1"/>
  <c r="U169" i="1"/>
  <c r="T169" i="1"/>
  <c r="M188" i="1"/>
  <c r="T189" i="1"/>
  <c r="S193" i="1"/>
  <c r="N202" i="1"/>
  <c r="O202" i="1" s="1"/>
  <c r="M212" i="1"/>
  <c r="M217" i="1"/>
  <c r="N217" i="1" s="1"/>
  <c r="O217" i="1" s="1"/>
  <c r="T7" i="1"/>
  <c r="M12" i="1"/>
  <c r="N12" i="1" s="1"/>
  <c r="O12" i="1" s="1"/>
  <c r="M26" i="1"/>
  <c r="N26" i="1" s="1"/>
  <c r="O26" i="1" s="1"/>
  <c r="T39" i="1"/>
  <c r="T41" i="1"/>
  <c r="U41" i="1"/>
  <c r="S44" i="1"/>
  <c r="N47" i="1"/>
  <c r="O47" i="1" s="1"/>
  <c r="M49" i="1"/>
  <c r="N49" i="1" s="1"/>
  <c r="O49" i="1" s="1"/>
  <c r="N53" i="1"/>
  <c r="O53" i="1" s="1"/>
  <c r="M68" i="1"/>
  <c r="N68" i="1" s="1"/>
  <c r="O68" i="1" s="1"/>
  <c r="T76" i="1"/>
  <c r="M78" i="1"/>
  <c r="T87" i="1"/>
  <c r="M89" i="1"/>
  <c r="M94" i="1"/>
  <c r="N94" i="1" s="1"/>
  <c r="O94" i="1" s="1"/>
  <c r="U105" i="1"/>
  <c r="T105" i="1"/>
  <c r="S130" i="1"/>
  <c r="S148" i="1"/>
  <c r="M150" i="1"/>
  <c r="N150" i="1" s="1"/>
  <c r="O150" i="1" s="1"/>
  <c r="U153" i="1"/>
  <c r="T153" i="1"/>
  <c r="M157" i="1"/>
  <c r="N157" i="1" s="1"/>
  <c r="O157" i="1" s="1"/>
  <c r="S157" i="1"/>
  <c r="M164" i="1"/>
  <c r="M169" i="1"/>
  <c r="T176" i="1"/>
  <c r="M178" i="1"/>
  <c r="N178" i="1" s="1"/>
  <c r="O178" i="1" s="1"/>
  <c r="S180" i="1"/>
  <c r="N180" i="1"/>
  <c r="O180" i="1" s="1"/>
  <c r="M193" i="1"/>
  <c r="N193" i="1" s="1"/>
  <c r="O193" i="1" s="1"/>
  <c r="S197" i="1"/>
  <c r="M197" i="1"/>
  <c r="N197" i="1" s="1"/>
  <c r="O197" i="1" s="1"/>
  <c r="M199" i="1"/>
  <c r="T200" i="1"/>
  <c r="M202" i="1"/>
  <c r="S204" i="1"/>
  <c r="T213" i="1"/>
  <c r="S12" i="1"/>
  <c r="M32" i="1"/>
  <c r="N32" i="1" s="1"/>
  <c r="O32" i="1" s="1"/>
  <c r="M35" i="1"/>
  <c r="N35" i="1" s="1"/>
  <c r="O35" i="1" s="1"/>
  <c r="M41" i="1"/>
  <c r="N41" i="1" s="1"/>
  <c r="O41" i="1" s="1"/>
  <c r="M60" i="1"/>
  <c r="N60" i="1" s="1"/>
  <c r="O60" i="1" s="1"/>
  <c r="S65" i="1"/>
  <c r="N65" i="1"/>
  <c r="O65" i="1" s="1"/>
  <c r="N70" i="1"/>
  <c r="O70" i="1" s="1"/>
  <c r="N78" i="1"/>
  <c r="O78" i="1" s="1"/>
  <c r="N89" i="1"/>
  <c r="O89" i="1" s="1"/>
  <c r="S109" i="1"/>
  <c r="T132" i="1"/>
  <c r="S134" i="1"/>
  <c r="M134" i="1"/>
  <c r="N134" i="1" s="1"/>
  <c r="O134" i="1" s="1"/>
  <c r="S143" i="1"/>
  <c r="M143" i="1"/>
  <c r="N143" i="1" s="1"/>
  <c r="O143" i="1" s="1"/>
  <c r="T162" i="1"/>
  <c r="N169" i="1"/>
  <c r="O169" i="1" s="1"/>
  <c r="M180" i="1"/>
  <c r="M204" i="1"/>
  <c r="N204" i="1" s="1"/>
  <c r="O204" i="1" s="1"/>
  <c r="S206" i="1"/>
  <c r="N206" i="1"/>
  <c r="O206" i="1" s="1"/>
  <c r="N166" i="1"/>
  <c r="O166" i="1" s="1"/>
  <c r="S166" i="1"/>
  <c r="M166" i="1"/>
  <c r="M187" i="1"/>
  <c r="M208" i="1"/>
  <c r="N208" i="1" s="1"/>
  <c r="O208" i="1" s="1"/>
  <c r="M4" i="1"/>
  <c r="N4" i="1" s="1"/>
  <c r="O4" i="1" s="1"/>
  <c r="M16" i="1"/>
  <c r="N16" i="1" s="1"/>
  <c r="O16" i="1" s="1"/>
  <c r="M28" i="1"/>
  <c r="N28" i="1" s="1"/>
  <c r="O28" i="1" s="1"/>
  <c r="T56" i="1"/>
  <c r="M96" i="1"/>
  <c r="N96" i="1" s="1"/>
  <c r="O96" i="1" s="1"/>
  <c r="U129" i="1"/>
  <c r="T129" i="1"/>
  <c r="M154" i="1"/>
  <c r="N154" i="1" s="1"/>
  <c r="O154" i="1" s="1"/>
  <c r="U168" i="1"/>
  <c r="T168" i="1"/>
  <c r="N187" i="1"/>
  <c r="O187" i="1" s="1"/>
  <c r="N190" i="1"/>
  <c r="O190" i="1" s="1"/>
  <c r="S190" i="1"/>
  <c r="M190" i="1"/>
  <c r="M205" i="1"/>
  <c r="N205" i="1" s="1"/>
  <c r="O205" i="1" s="1"/>
  <c r="U216" i="1"/>
  <c r="T216" i="1"/>
  <c r="T187" i="1"/>
  <c r="U187" i="1"/>
  <c r="S71" i="1"/>
  <c r="N71" i="1"/>
  <c r="O71" i="1" s="1"/>
  <c r="M84" i="1"/>
  <c r="N84" i="1" s="1"/>
  <c r="O84" i="1" s="1"/>
  <c r="N184" i="1"/>
  <c r="O184" i="1" s="1"/>
  <c r="S214" i="1"/>
  <c r="M214" i="1"/>
  <c r="N214" i="1" s="1"/>
  <c r="O214" i="1" s="1"/>
  <c r="M40" i="1"/>
  <c r="N40" i="1" s="1"/>
  <c r="O40" i="1" s="1"/>
  <c r="M52" i="1"/>
  <c r="N52" i="1" s="1"/>
  <c r="O52" i="1" s="1"/>
  <c r="M55" i="1"/>
  <c r="N55" i="1" s="1"/>
  <c r="O55" i="1" s="1"/>
  <c r="T75" i="1"/>
  <c r="M151" i="1"/>
  <c r="N151" i="1" s="1"/>
  <c r="O151" i="1" s="1"/>
  <c r="T152" i="1"/>
  <c r="N58" i="1"/>
  <c r="O58" i="1" s="1"/>
  <c r="N61" i="1"/>
  <c r="O61" i="1" s="1"/>
  <c r="U77" i="1"/>
  <c r="T77" i="1"/>
  <c r="S84" i="1"/>
  <c r="M108" i="1"/>
  <c r="N108" i="1" s="1"/>
  <c r="O108" i="1" s="1"/>
  <c r="U111" i="1"/>
  <c r="T111" i="1"/>
  <c r="T114" i="1"/>
  <c r="M136" i="1"/>
  <c r="N136" i="1" s="1"/>
  <c r="O136" i="1" s="1"/>
  <c r="M139" i="1"/>
  <c r="N139" i="1" s="1"/>
  <c r="O139" i="1" s="1"/>
  <c r="M145" i="1"/>
  <c r="N145" i="1" s="1"/>
  <c r="O145" i="1" s="1"/>
  <c r="M168" i="1"/>
  <c r="N168" i="1" s="1"/>
  <c r="O168" i="1" s="1"/>
  <c r="M181" i="1"/>
  <c r="N181" i="1" s="1"/>
  <c r="O181" i="1" s="1"/>
  <c r="U192" i="1"/>
  <c r="T192" i="1"/>
  <c r="S208" i="1"/>
  <c r="M216" i="1"/>
  <c r="N216" i="1" s="1"/>
  <c r="O216" i="1" s="1"/>
  <c r="S221" i="1"/>
  <c r="M221" i="1"/>
  <c r="N221" i="1"/>
  <c r="O221" i="1" s="1"/>
  <c r="M162" i="1"/>
  <c r="N162" i="1" s="1"/>
  <c r="O162" i="1" s="1"/>
  <c r="T177" i="1"/>
  <c r="M186" i="1"/>
  <c r="N186" i="1" s="1"/>
  <c r="O186" i="1" s="1"/>
  <c r="T201" i="1"/>
  <c r="M210" i="1"/>
  <c r="N210" i="1" s="1"/>
  <c r="O210" i="1" s="1"/>
  <c r="M114" i="1"/>
  <c r="N114" i="1" s="1"/>
  <c r="O114" i="1" s="1"/>
  <c r="M138" i="1"/>
  <c r="N138" i="1" s="1"/>
  <c r="O138" i="1" s="1"/>
  <c r="N56" i="1"/>
  <c r="O56" i="1" s="1"/>
  <c r="N76" i="1"/>
  <c r="O76" i="1" s="1"/>
  <c r="N80" i="1"/>
  <c r="O80" i="1" s="1"/>
  <c r="N100" i="1"/>
  <c r="O100" i="1" s="1"/>
  <c r="M107" i="1"/>
  <c r="N107" i="1" s="1"/>
  <c r="O107" i="1" s="1"/>
  <c r="M131" i="1"/>
  <c r="N131" i="1" s="1"/>
  <c r="O131" i="1" s="1"/>
  <c r="M155" i="1"/>
  <c r="N155" i="1" s="1"/>
  <c r="O155" i="1" s="1"/>
  <c r="M179" i="1"/>
  <c r="N179" i="1" s="1"/>
  <c r="O179" i="1" s="1"/>
  <c r="M203" i="1"/>
  <c r="N203" i="1" s="1"/>
  <c r="O203" i="1" s="1"/>
  <c r="T134" i="1" l="1"/>
  <c r="U134" i="1"/>
  <c r="U197" i="1"/>
  <c r="T197" i="1"/>
  <c r="U142" i="1"/>
  <c r="T142" i="1"/>
  <c r="U120" i="1"/>
  <c r="T120" i="1"/>
  <c r="U174" i="1"/>
  <c r="T174" i="1"/>
  <c r="T206" i="1"/>
  <c r="U206" i="1"/>
  <c r="U172" i="1"/>
  <c r="T172" i="1"/>
  <c r="U158" i="1"/>
  <c r="T158" i="1"/>
  <c r="U72" i="1"/>
  <c r="T72" i="1"/>
  <c r="U12" i="1"/>
  <c r="T12" i="1"/>
  <c r="U125" i="1"/>
  <c r="T125" i="1"/>
  <c r="U48" i="1"/>
  <c r="T48" i="1"/>
  <c r="U64" i="1"/>
  <c r="T64" i="1"/>
  <c r="T44" i="1"/>
  <c r="U44" i="1"/>
  <c r="T193" i="1"/>
  <c r="U193" i="1"/>
  <c r="U112" i="1"/>
  <c r="T112" i="1"/>
  <c r="U215" i="1"/>
  <c r="T215" i="1"/>
  <c r="U118" i="1"/>
  <c r="T118" i="1"/>
  <c r="U167" i="1"/>
  <c r="T167" i="1"/>
  <c r="U149" i="1"/>
  <c r="T149" i="1"/>
  <c r="U95" i="1"/>
  <c r="T95" i="1"/>
  <c r="U156" i="1"/>
  <c r="T156" i="1"/>
  <c r="U90" i="1"/>
  <c r="T90" i="1"/>
  <c r="U204" i="1"/>
  <c r="T204" i="1"/>
  <c r="U208" i="1"/>
  <c r="T208" i="1"/>
  <c r="U65" i="1"/>
  <c r="T65" i="1"/>
  <c r="U103" i="1"/>
  <c r="T103" i="1"/>
  <c r="U209" i="1"/>
  <c r="T209" i="1"/>
  <c r="U66" i="1"/>
  <c r="T66" i="1"/>
  <c r="U157" i="1"/>
  <c r="T157" i="1"/>
  <c r="U196" i="1"/>
  <c r="T196" i="1"/>
  <c r="U106" i="1"/>
  <c r="T106" i="1"/>
  <c r="U88" i="1"/>
  <c r="T88" i="1"/>
  <c r="U220" i="1"/>
  <c r="T220" i="1"/>
  <c r="U214" i="1"/>
  <c r="T214" i="1"/>
  <c r="U79" i="1"/>
  <c r="T79" i="1"/>
  <c r="U20" i="1"/>
  <c r="T20" i="1"/>
  <c r="T190" i="1"/>
  <c r="U190" i="1"/>
  <c r="U68" i="1"/>
  <c r="T68" i="1"/>
  <c r="U36" i="1"/>
  <c r="T36" i="1"/>
  <c r="T137" i="1"/>
  <c r="U137" i="1"/>
  <c r="U34" i="1"/>
  <c r="T34" i="1"/>
  <c r="U46" i="1"/>
  <c r="T46" i="1"/>
  <c r="U110" i="1"/>
  <c r="T110" i="1"/>
  <c r="U124" i="1"/>
  <c r="T124" i="1"/>
  <c r="U217" i="1"/>
  <c r="T217" i="1"/>
  <c r="U10" i="1"/>
  <c r="T10" i="1"/>
  <c r="U109" i="1"/>
  <c r="T109" i="1"/>
  <c r="T148" i="1"/>
  <c r="U148" i="1"/>
  <c r="U101" i="1"/>
  <c r="T101" i="1"/>
  <c r="U180" i="1"/>
  <c r="T180" i="1"/>
  <c r="U92" i="1"/>
  <c r="T92" i="1"/>
  <c r="U173" i="1"/>
  <c r="T173" i="1"/>
  <c r="T211" i="1"/>
  <c r="U211" i="1"/>
  <c r="U71" i="1"/>
  <c r="T71" i="1"/>
  <c r="U130" i="1"/>
  <c r="T130" i="1"/>
  <c r="U82" i="1"/>
  <c r="T82" i="1"/>
  <c r="U85" i="1"/>
  <c r="T85" i="1"/>
  <c r="T163" i="1"/>
  <c r="U163" i="1"/>
  <c r="U221" i="1"/>
  <c r="T221" i="1"/>
  <c r="T5" i="1"/>
  <c r="U5" i="1"/>
  <c r="U160" i="1"/>
  <c r="T160" i="1"/>
  <c r="U191" i="1"/>
  <c r="T191" i="1"/>
  <c r="U8" i="1"/>
  <c r="T8" i="1"/>
  <c r="U113" i="1"/>
  <c r="T113" i="1"/>
  <c r="U144" i="1"/>
  <c r="T144" i="1"/>
  <c r="U84" i="1"/>
  <c r="T84" i="1"/>
  <c r="U133" i="1"/>
  <c r="T133" i="1"/>
  <c r="U74" i="1"/>
  <c r="T74" i="1"/>
  <c r="U185" i="1"/>
  <c r="T185" i="1"/>
  <c r="U143" i="1"/>
  <c r="T143" i="1"/>
  <c r="U24" i="1"/>
  <c r="T24" i="1"/>
  <c r="U170" i="1"/>
  <c r="T170" i="1"/>
  <c r="U166" i="1"/>
  <c r="T166" i="1"/>
  <c r="T59" i="1"/>
  <c r="U59" i="1"/>
  <c r="U182" i="1"/>
  <c r="T182" i="1"/>
  <c r="U119" i="1"/>
  <c r="T119" i="1"/>
  <c r="U42" i="1"/>
  <c r="T42" i="1"/>
  <c r="U22" i="1"/>
  <c r="T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2" authorId="0" shapeId="0" xr:uid="{00000000-0006-0000-0000-000001000000}">
      <text>
        <r>
          <rPr>
            <sz val="10"/>
            <rFont val="Arial"/>
            <family val="2"/>
          </rPr>
          <t>Cost = Revenue x an assumed per-transaction cost ratio (0.55-0.78), simulating COGS variance by product/region. Illustrative sample data.</t>
        </r>
      </text>
    </comment>
    <comment ref="U2" authorId="0" shapeId="0" xr:uid="{00000000-0006-0000-0000-000002000000}">
      <text>
        <r>
          <rPr>
            <sz val="10"/>
            <rFont val="Arial"/>
            <family val="2"/>
          </rPr>
          <t>Growth % = (Actual Sales - Target Sales) / Target Sales for this transaction, i.e. performance vs plan. True period-over-period revenue growth is calculated later in Power BI using a DAX time-intelligence measure (see README).</t>
        </r>
      </text>
    </comment>
  </commentList>
</comments>
</file>

<file path=xl/sharedStrings.xml><?xml version="1.0" encoding="utf-8"?>
<sst xmlns="http://schemas.openxmlformats.org/spreadsheetml/2006/main" count="1561" uniqueCount="92">
  <si>
    <t>Date</t>
  </si>
  <si>
    <t>Month</t>
  </si>
  <si>
    <t>Quarter</t>
  </si>
  <si>
    <t>Year</t>
  </si>
  <si>
    <t>Region</t>
  </si>
  <si>
    <t>State/City</t>
  </si>
  <si>
    <t>Sales Executive Name</t>
  </si>
  <si>
    <t>Product Category</t>
  </si>
  <si>
    <t>Product Name</t>
  </si>
  <si>
    <t>Units Sold</t>
  </si>
  <si>
    <t>Selling Price</t>
  </si>
  <si>
    <t>Revenue</t>
  </si>
  <si>
    <t>Cost</t>
  </si>
  <si>
    <t>Profit</t>
  </si>
  <si>
    <t>Profit Margin %</t>
  </si>
  <si>
    <t>Customer Type</t>
  </si>
  <si>
    <t>Sales Channel</t>
  </si>
  <si>
    <t>Target Sales</t>
  </si>
  <si>
    <t>Actual Sales</t>
  </si>
  <si>
    <t>Achievement %</t>
  </si>
  <si>
    <t>North</t>
  </si>
  <si>
    <t>Delhi</t>
  </si>
  <si>
    <t>Sneha Iyer</t>
  </si>
  <si>
    <t>Electronics</t>
  </si>
  <si>
    <t>Smartphone</t>
  </si>
  <si>
    <t>Existing</t>
  </si>
  <si>
    <t>Online</t>
  </si>
  <si>
    <t>East</t>
  </si>
  <si>
    <t>Patna</t>
  </si>
  <si>
    <t>Neha Verma</t>
  </si>
  <si>
    <t>Furniture</t>
  </si>
  <si>
    <t>Study Table</t>
  </si>
  <si>
    <t>Central</t>
  </si>
  <si>
    <t>Raipur</t>
  </si>
  <si>
    <t>Rohan Mehta</t>
  </si>
  <si>
    <t>Offline</t>
  </si>
  <si>
    <t>West</t>
  </si>
  <si>
    <t>Ahmedabad</t>
  </si>
  <si>
    <t>Aarav Sharma</t>
  </si>
  <si>
    <t>Cosmetics</t>
  </si>
  <si>
    <t>Face Serum</t>
  </si>
  <si>
    <t>New</t>
  </si>
  <si>
    <t>South</t>
  </si>
  <si>
    <t>Kochi</t>
  </si>
  <si>
    <t>Ananya Gupta</t>
  </si>
  <si>
    <t>Clothing</t>
  </si>
  <si>
    <t>Men's Jacket</t>
  </si>
  <si>
    <t>Hyderabad</t>
  </si>
  <si>
    <t>Divya Menon</t>
  </si>
  <si>
    <t>Kids T-Shirt</t>
  </si>
  <si>
    <t>Bed Frame</t>
  </si>
  <si>
    <t>Priya Nair</t>
  </si>
  <si>
    <t>Groceries</t>
  </si>
  <si>
    <t>Basmati Rice 5kg</t>
  </si>
  <si>
    <t>Lucknow</t>
  </si>
  <si>
    <t>Isha Kapoor</t>
  </si>
  <si>
    <t>Herbal Shampoo</t>
  </si>
  <si>
    <t>Arjun Reddy</t>
  </si>
  <si>
    <t>Sunscreen SPF50</t>
  </si>
  <si>
    <t>Guwahati</t>
  </si>
  <si>
    <t>Sofa Set</t>
  </si>
  <si>
    <t>Cooking Oil 1L</t>
  </si>
  <si>
    <t>Perfume 100ml</t>
  </si>
  <si>
    <t>Chennai</t>
  </si>
  <si>
    <t>Tablet</t>
  </si>
  <si>
    <t>Jaipur</t>
  </si>
  <si>
    <t>Vikram Singh</t>
  </si>
  <si>
    <t>Mumbai</t>
  </si>
  <si>
    <t>Karan Malhotra</t>
  </si>
  <si>
    <t>Office Chair</t>
  </si>
  <si>
    <t>Nagpur</t>
  </si>
  <si>
    <t>Green Tea Pack</t>
  </si>
  <si>
    <t>Chandigarh</t>
  </si>
  <si>
    <t>Bhopal</t>
  </si>
  <si>
    <t>Indore</t>
  </si>
  <si>
    <t>Formal Shirt</t>
  </si>
  <si>
    <t>Surat</t>
  </si>
  <si>
    <t>Laptop</t>
  </si>
  <si>
    <t>Bhubaneswar</t>
  </si>
  <si>
    <t>Pune</t>
  </si>
  <si>
    <t>Women's Kurti</t>
  </si>
  <si>
    <t>Kolkata</t>
  </si>
  <si>
    <t>Organic Atta 5kg</t>
  </si>
  <si>
    <t>Bengaluru</t>
  </si>
  <si>
    <t>Spice Combo Pack</t>
  </si>
  <si>
    <t>Siddharth Rao</t>
  </si>
  <si>
    <t>Lipstick Set</t>
  </si>
  <si>
    <t>Bookshelf</t>
  </si>
  <si>
    <t>Bluetooth Speaker</t>
  </si>
  <si>
    <t>Denim Jeans</t>
  </si>
  <si>
    <t>Smart Watch</t>
  </si>
  <si>
    <t>Target Variance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</si>
</sst>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0"/>
      <name val="Arial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4" fontId="3" fillId="0" borderId="1" xfId="0" applyNumberFormat="1" applyFont="1" applyBorder="1"/>
    <xf numFmtId="14" fontId="2" fillId="2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Border="1"/>
    <xf numFmtId="14" fontId="0" fillId="0" borderId="0" xfId="0" applyNumberFormat="1"/>
    <xf numFmtId="9" fontId="1" fillId="0" borderId="1" xfId="1" applyBorder="1" applyAlignment="1">
      <alignment horizontal="center" vertical="center" wrapText="1"/>
    </xf>
    <xf numFmtId="9" fontId="1" fillId="0" borderId="1" xfId="1" applyBorder="1"/>
    <xf numFmtId="9" fontId="1" fillId="0" borderId="0" xfId="1"/>
    <xf numFmtId="9" fontId="1" fillId="0" borderId="1" xfId="1" applyBorder="1" applyAlignment="1">
      <alignment horizontal="center"/>
    </xf>
    <xf numFmtId="9" fontId="1" fillId="0" borderId="0" xfId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1"/>
  <sheetViews>
    <sheetView tabSelected="1" topLeftCell="G1" zoomScaleNormal="100" workbookViewId="0">
      <pane ySplit="1" topLeftCell="A2" activePane="bottomLeft" state="frozen"/>
      <selection pane="bottomLeft" activeCell="U1" sqref="U1:U1048576"/>
    </sheetView>
  </sheetViews>
  <sheetFormatPr defaultColWidth="8.6640625" defaultRowHeight="14.4" x14ac:dyDescent="0.3"/>
  <cols>
    <col min="1" max="1" width="12" style="6" customWidth="1"/>
    <col min="2" max="3" width="7" customWidth="1"/>
    <col min="4" max="4" width="6" customWidth="1"/>
    <col min="5" max="5" width="10" customWidth="1"/>
    <col min="6" max="6" width="12" customWidth="1"/>
    <col min="7" max="7" width="20" customWidth="1"/>
    <col min="8" max="8" width="16" customWidth="1"/>
    <col min="9" max="9" width="20" customWidth="1"/>
    <col min="10" max="10" width="10" customWidth="1"/>
    <col min="11" max="11" width="12" customWidth="1"/>
    <col min="12" max="12" width="13" customWidth="1"/>
    <col min="13" max="14" width="11" customWidth="1"/>
    <col min="15" max="15" width="12" style="9" customWidth="1"/>
    <col min="16" max="19" width="13" customWidth="1"/>
    <col min="20" max="20" width="13" style="9" customWidth="1"/>
    <col min="21" max="21" width="12" style="11" customWidth="1"/>
  </cols>
  <sheetData>
    <row r="1" spans="1:21" ht="30" customHeight="1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7" t="s">
        <v>19</v>
      </c>
      <c r="U1" s="7" t="s">
        <v>91</v>
      </c>
    </row>
    <row r="2" spans="1:21" x14ac:dyDescent="0.3">
      <c r="A2" s="5">
        <v>45299</v>
      </c>
      <c r="B2" s="2" t="str">
        <f t="shared" ref="B2:B65" si="0">TEXT(A2,"mmm")</f>
        <v>Jan</v>
      </c>
      <c r="C2" s="2" t="str">
        <f t="shared" ref="C2:C65" si="1">"Q"&amp;ROUNDUP(MONTH(A2)/3,0)</f>
        <v>Q1</v>
      </c>
      <c r="D2" s="2">
        <f t="shared" ref="D2:D65" si="2">YEAR(A2)</f>
        <v>2024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5</v>
      </c>
      <c r="K2" s="3">
        <v>51929.04</v>
      </c>
      <c r="L2" s="3">
        <f t="shared" ref="L2:L65" si="3">J2*K2</f>
        <v>259645.2</v>
      </c>
      <c r="M2" s="3">
        <f>ROUND(L2*0.668,2)</f>
        <v>173442.99</v>
      </c>
      <c r="N2" s="3">
        <f t="shared" ref="N2:N65" si="4">L2-M2</f>
        <v>86202.210000000021</v>
      </c>
      <c r="O2" s="8">
        <f t="shared" ref="O2:O65" si="5">IFERROR(N2/L2,0)</f>
        <v>0.33200001386507438</v>
      </c>
      <c r="P2" s="2" t="s">
        <v>25</v>
      </c>
      <c r="Q2" s="2" t="s">
        <v>26</v>
      </c>
      <c r="R2" s="3">
        <v>242390.01</v>
      </c>
      <c r="S2" s="3">
        <f t="shared" ref="S2:S65" si="6">L2</f>
        <v>259645.2</v>
      </c>
      <c r="T2" s="8">
        <f t="shared" ref="T2:T65" si="7">IFERROR(S2/R2,0)</f>
        <v>1.0711877110776966</v>
      </c>
      <c r="U2" s="10">
        <f t="shared" ref="U2:U65" si="8">IFERROR((S2-R2)/R2,0)</f>
        <v>7.1187711077696655E-2</v>
      </c>
    </row>
    <row r="3" spans="1:21" x14ac:dyDescent="0.3">
      <c r="A3" s="5">
        <v>45306</v>
      </c>
      <c r="B3" s="2" t="str">
        <f t="shared" si="0"/>
        <v>Jan</v>
      </c>
      <c r="C3" s="2" t="str">
        <f t="shared" si="1"/>
        <v>Q1</v>
      </c>
      <c r="D3" s="2">
        <f t="shared" si="2"/>
        <v>2024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>
        <v>41</v>
      </c>
      <c r="K3" s="3">
        <v>16635.52</v>
      </c>
      <c r="L3" s="3">
        <f t="shared" si="3"/>
        <v>682056.32000000007</v>
      </c>
      <c r="M3" s="3">
        <f>ROUND(L3*0.756,2)</f>
        <v>515634.58</v>
      </c>
      <c r="N3" s="3">
        <f t="shared" si="4"/>
        <v>166421.74000000005</v>
      </c>
      <c r="O3" s="8">
        <f t="shared" si="5"/>
        <v>0.24399999695039851</v>
      </c>
      <c r="P3" s="2" t="s">
        <v>25</v>
      </c>
      <c r="Q3" s="2" t="s">
        <v>26</v>
      </c>
      <c r="R3" s="3">
        <v>748963.96</v>
      </c>
      <c r="S3" s="3">
        <f t="shared" si="6"/>
        <v>682056.32000000007</v>
      </c>
      <c r="T3" s="8">
        <f t="shared" si="7"/>
        <v>0.91066640910198149</v>
      </c>
      <c r="U3" s="10">
        <f t="shared" si="8"/>
        <v>-8.9333590898018511E-2</v>
      </c>
    </row>
    <row r="4" spans="1:21" x14ac:dyDescent="0.3">
      <c r="A4" s="5">
        <v>45309</v>
      </c>
      <c r="B4" s="2" t="str">
        <f t="shared" si="0"/>
        <v>Jan</v>
      </c>
      <c r="C4" s="2" t="str">
        <f t="shared" si="1"/>
        <v>Q1</v>
      </c>
      <c r="D4" s="2">
        <f t="shared" si="2"/>
        <v>2024</v>
      </c>
      <c r="E4" s="2" t="s">
        <v>32</v>
      </c>
      <c r="F4" s="2" t="s">
        <v>33</v>
      </c>
      <c r="G4" s="2" t="s">
        <v>34</v>
      </c>
      <c r="H4" s="2" t="s">
        <v>23</v>
      </c>
      <c r="I4" s="2" t="s">
        <v>24</v>
      </c>
      <c r="J4" s="2">
        <v>16</v>
      </c>
      <c r="K4" s="3">
        <v>32652.16</v>
      </c>
      <c r="L4" s="3">
        <f t="shared" si="3"/>
        <v>522434.56</v>
      </c>
      <c r="M4" s="3">
        <f>ROUND(L4*0.594,2)</f>
        <v>310326.13</v>
      </c>
      <c r="N4" s="3">
        <f t="shared" si="4"/>
        <v>212108.43</v>
      </c>
      <c r="O4" s="8">
        <f t="shared" si="5"/>
        <v>0.40599999739680315</v>
      </c>
      <c r="P4" s="2" t="s">
        <v>25</v>
      </c>
      <c r="Q4" s="2" t="s">
        <v>35</v>
      </c>
      <c r="R4" s="3">
        <v>526581.02</v>
      </c>
      <c r="S4" s="3">
        <f t="shared" si="6"/>
        <v>522434.56</v>
      </c>
      <c r="T4" s="8">
        <f t="shared" si="7"/>
        <v>0.99212569416193541</v>
      </c>
      <c r="U4" s="10">
        <f t="shared" si="8"/>
        <v>-7.8743058380646175E-3</v>
      </c>
    </row>
    <row r="5" spans="1:21" x14ac:dyDescent="0.3">
      <c r="A5" s="5">
        <v>45314</v>
      </c>
      <c r="B5" s="2" t="str">
        <f t="shared" si="0"/>
        <v>Jan</v>
      </c>
      <c r="C5" s="2" t="str">
        <f t="shared" si="1"/>
        <v>Q1</v>
      </c>
      <c r="D5" s="2">
        <f t="shared" si="2"/>
        <v>2024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>
        <v>32</v>
      </c>
      <c r="K5" s="3">
        <v>2294.33</v>
      </c>
      <c r="L5" s="3">
        <f t="shared" si="3"/>
        <v>73418.559999999998</v>
      </c>
      <c r="M5" s="3">
        <f>ROUND(L5*0.742,2)</f>
        <v>54476.57</v>
      </c>
      <c r="N5" s="3">
        <f t="shared" si="4"/>
        <v>18941.989999999998</v>
      </c>
      <c r="O5" s="8">
        <f t="shared" si="5"/>
        <v>0.25800002070321182</v>
      </c>
      <c r="P5" s="2" t="s">
        <v>41</v>
      </c>
      <c r="Q5" s="2" t="s">
        <v>35</v>
      </c>
      <c r="R5" s="3">
        <v>82293.429999999993</v>
      </c>
      <c r="S5" s="3">
        <f t="shared" si="6"/>
        <v>73418.559999999998</v>
      </c>
      <c r="T5" s="8">
        <f t="shared" si="7"/>
        <v>0.89215578935037709</v>
      </c>
      <c r="U5" s="10">
        <f t="shared" si="8"/>
        <v>-0.10784421064962289</v>
      </c>
    </row>
    <row r="6" spans="1:21" x14ac:dyDescent="0.3">
      <c r="A6" s="5">
        <v>45316</v>
      </c>
      <c r="B6" s="2" t="str">
        <f t="shared" si="0"/>
        <v>Jan</v>
      </c>
      <c r="C6" s="2" t="str">
        <f t="shared" si="1"/>
        <v>Q1</v>
      </c>
      <c r="D6" s="2">
        <f t="shared" si="2"/>
        <v>2024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46</v>
      </c>
      <c r="J6" s="2">
        <v>18</v>
      </c>
      <c r="K6" s="3">
        <v>3397.32</v>
      </c>
      <c r="L6" s="3">
        <f t="shared" si="3"/>
        <v>61151.76</v>
      </c>
      <c r="M6" s="3">
        <f>ROUND(L6*0.631,2)</f>
        <v>38586.76</v>
      </c>
      <c r="N6" s="3">
        <f t="shared" si="4"/>
        <v>22565</v>
      </c>
      <c r="O6" s="8">
        <f t="shared" si="5"/>
        <v>0.36900000915754511</v>
      </c>
      <c r="P6" s="2" t="s">
        <v>25</v>
      </c>
      <c r="Q6" s="2" t="s">
        <v>26</v>
      </c>
      <c r="R6" s="3">
        <v>61324.31</v>
      </c>
      <c r="S6" s="3">
        <f t="shared" si="6"/>
        <v>61151.76</v>
      </c>
      <c r="T6" s="8">
        <f t="shared" si="7"/>
        <v>0.99718627082799638</v>
      </c>
      <c r="U6" s="10">
        <f t="shared" si="8"/>
        <v>-2.8137291720036579E-3</v>
      </c>
    </row>
    <row r="7" spans="1:21" x14ac:dyDescent="0.3">
      <c r="A7" s="5">
        <v>45321</v>
      </c>
      <c r="B7" s="2" t="str">
        <f t="shared" si="0"/>
        <v>Jan</v>
      </c>
      <c r="C7" s="2" t="str">
        <f t="shared" si="1"/>
        <v>Q1</v>
      </c>
      <c r="D7" s="2">
        <f t="shared" si="2"/>
        <v>2024</v>
      </c>
      <c r="E7" s="2" t="s">
        <v>42</v>
      </c>
      <c r="F7" s="2" t="s">
        <v>47</v>
      </c>
      <c r="G7" s="2" t="s">
        <v>48</v>
      </c>
      <c r="H7" s="2" t="s">
        <v>45</v>
      </c>
      <c r="I7" s="2" t="s">
        <v>49</v>
      </c>
      <c r="J7" s="2">
        <v>12</v>
      </c>
      <c r="K7" s="3">
        <v>1487.52</v>
      </c>
      <c r="L7" s="3">
        <f t="shared" si="3"/>
        <v>17850.239999999998</v>
      </c>
      <c r="M7" s="3">
        <f>ROUND(L7*0.75,2)</f>
        <v>13387.68</v>
      </c>
      <c r="N7" s="3">
        <f t="shared" si="4"/>
        <v>4462.5599999999977</v>
      </c>
      <c r="O7" s="8">
        <f t="shared" si="5"/>
        <v>0.24999999999999989</v>
      </c>
      <c r="P7" s="2" t="s">
        <v>25</v>
      </c>
      <c r="Q7" s="2" t="s">
        <v>26</v>
      </c>
      <c r="R7" s="3">
        <v>18205.39</v>
      </c>
      <c r="S7" s="3">
        <f t="shared" si="6"/>
        <v>17850.239999999998</v>
      </c>
      <c r="T7" s="8">
        <f t="shared" si="7"/>
        <v>0.98049204109332444</v>
      </c>
      <c r="U7" s="10">
        <f t="shared" si="8"/>
        <v>-1.9507958906675522E-2</v>
      </c>
    </row>
    <row r="8" spans="1:21" x14ac:dyDescent="0.3">
      <c r="A8" s="5">
        <v>45324</v>
      </c>
      <c r="B8" s="2" t="str">
        <f t="shared" si="0"/>
        <v>Feb</v>
      </c>
      <c r="C8" s="2" t="str">
        <f t="shared" si="1"/>
        <v>Q1</v>
      </c>
      <c r="D8" s="2">
        <f t="shared" si="2"/>
        <v>2024</v>
      </c>
      <c r="E8" s="2" t="s">
        <v>20</v>
      </c>
      <c r="F8" s="2" t="s">
        <v>21</v>
      </c>
      <c r="G8" s="2" t="s">
        <v>22</v>
      </c>
      <c r="H8" s="2" t="s">
        <v>30</v>
      </c>
      <c r="I8" s="2" t="s">
        <v>50</v>
      </c>
      <c r="J8" s="2">
        <v>36</v>
      </c>
      <c r="K8" s="3">
        <v>16443.400000000001</v>
      </c>
      <c r="L8" s="3">
        <f t="shared" si="3"/>
        <v>591962.4</v>
      </c>
      <c r="M8" s="3">
        <f>ROUND(L8*0.596,2)</f>
        <v>352809.59</v>
      </c>
      <c r="N8" s="3">
        <f t="shared" si="4"/>
        <v>239152.81</v>
      </c>
      <c r="O8" s="8">
        <f t="shared" si="5"/>
        <v>0.40400000067571856</v>
      </c>
      <c r="P8" s="2" t="s">
        <v>25</v>
      </c>
      <c r="Q8" s="2" t="s">
        <v>26</v>
      </c>
      <c r="R8" s="3">
        <v>618580.18999999994</v>
      </c>
      <c r="S8" s="3">
        <f t="shared" si="6"/>
        <v>591962.4</v>
      </c>
      <c r="T8" s="8">
        <f t="shared" si="7"/>
        <v>0.95696954019817559</v>
      </c>
      <c r="U8" s="10">
        <f t="shared" si="8"/>
        <v>-4.303045980182444E-2</v>
      </c>
    </row>
    <row r="9" spans="1:21" x14ac:dyDescent="0.3">
      <c r="A9" s="5">
        <v>45329</v>
      </c>
      <c r="B9" s="2" t="str">
        <f t="shared" si="0"/>
        <v>Feb</v>
      </c>
      <c r="C9" s="2" t="str">
        <f t="shared" si="1"/>
        <v>Q1</v>
      </c>
      <c r="D9" s="2">
        <f t="shared" si="2"/>
        <v>2024</v>
      </c>
      <c r="E9" s="2" t="s">
        <v>42</v>
      </c>
      <c r="F9" s="2" t="s">
        <v>47</v>
      </c>
      <c r="G9" s="2" t="s">
        <v>51</v>
      </c>
      <c r="H9" s="2" t="s">
        <v>52</v>
      </c>
      <c r="I9" s="2" t="s">
        <v>53</v>
      </c>
      <c r="J9" s="2">
        <v>30</v>
      </c>
      <c r="K9" s="3">
        <v>702.25</v>
      </c>
      <c r="L9" s="3">
        <f t="shared" si="3"/>
        <v>21067.5</v>
      </c>
      <c r="M9" s="3">
        <f>ROUND(L9*0.554,2)</f>
        <v>11671.4</v>
      </c>
      <c r="N9" s="3">
        <f t="shared" si="4"/>
        <v>9396.1</v>
      </c>
      <c r="O9" s="8">
        <f t="shared" si="5"/>
        <v>0.44599976266761604</v>
      </c>
      <c r="P9" s="2" t="s">
        <v>41</v>
      </c>
      <c r="Q9" s="2" t="s">
        <v>26</v>
      </c>
      <c r="R9" s="3">
        <v>18818.47</v>
      </c>
      <c r="S9" s="3">
        <f t="shared" si="6"/>
        <v>21067.5</v>
      </c>
      <c r="T9" s="8">
        <f t="shared" si="7"/>
        <v>1.1195118412920921</v>
      </c>
      <c r="U9" s="10">
        <f t="shared" si="8"/>
        <v>0.11951184129209222</v>
      </c>
    </row>
    <row r="10" spans="1:21" x14ac:dyDescent="0.3">
      <c r="A10" s="5">
        <v>45341</v>
      </c>
      <c r="B10" s="2" t="str">
        <f t="shared" si="0"/>
        <v>Feb</v>
      </c>
      <c r="C10" s="2" t="str">
        <f t="shared" si="1"/>
        <v>Q1</v>
      </c>
      <c r="D10" s="2">
        <f t="shared" si="2"/>
        <v>2024</v>
      </c>
      <c r="E10" s="2" t="s">
        <v>20</v>
      </c>
      <c r="F10" s="2" t="s">
        <v>54</v>
      </c>
      <c r="G10" s="2" t="s">
        <v>55</v>
      </c>
      <c r="H10" s="2" t="s">
        <v>39</v>
      </c>
      <c r="I10" s="2" t="s">
        <v>56</v>
      </c>
      <c r="J10" s="2">
        <v>1</v>
      </c>
      <c r="K10" s="3">
        <v>856.51</v>
      </c>
      <c r="L10" s="3">
        <f t="shared" si="3"/>
        <v>856.51</v>
      </c>
      <c r="M10" s="3">
        <f>ROUND(L10*0.745,2)</f>
        <v>638.1</v>
      </c>
      <c r="N10" s="3">
        <f t="shared" si="4"/>
        <v>218.40999999999997</v>
      </c>
      <c r="O10" s="8">
        <f t="shared" si="5"/>
        <v>0.25499994162356537</v>
      </c>
      <c r="P10" s="2" t="s">
        <v>25</v>
      </c>
      <c r="Q10" s="2" t="s">
        <v>35</v>
      </c>
      <c r="R10" s="3">
        <v>838.76</v>
      </c>
      <c r="S10" s="3">
        <f t="shared" si="6"/>
        <v>856.51</v>
      </c>
      <c r="T10" s="8">
        <f t="shared" si="7"/>
        <v>1.0211621918069531</v>
      </c>
      <c r="U10" s="10">
        <f t="shared" si="8"/>
        <v>2.1162191806953123E-2</v>
      </c>
    </row>
    <row r="11" spans="1:21" x14ac:dyDescent="0.3">
      <c r="A11" s="5">
        <v>45343</v>
      </c>
      <c r="B11" s="2" t="str">
        <f t="shared" si="0"/>
        <v>Feb</v>
      </c>
      <c r="C11" s="2" t="str">
        <f t="shared" si="1"/>
        <v>Q1</v>
      </c>
      <c r="D11" s="2">
        <f t="shared" si="2"/>
        <v>2024</v>
      </c>
      <c r="E11" s="2" t="s">
        <v>32</v>
      </c>
      <c r="F11" s="2" t="s">
        <v>33</v>
      </c>
      <c r="G11" s="2" t="s">
        <v>57</v>
      </c>
      <c r="H11" s="2" t="s">
        <v>39</v>
      </c>
      <c r="I11" s="2" t="s">
        <v>58</v>
      </c>
      <c r="J11" s="2">
        <v>33</v>
      </c>
      <c r="K11" s="3">
        <v>329.88</v>
      </c>
      <c r="L11" s="3">
        <f t="shared" si="3"/>
        <v>10886.039999999999</v>
      </c>
      <c r="M11" s="3">
        <f>ROUND(L11*0.568,2)</f>
        <v>6183.27</v>
      </c>
      <c r="N11" s="3">
        <f t="shared" si="4"/>
        <v>4702.7699999999986</v>
      </c>
      <c r="O11" s="8">
        <f t="shared" si="5"/>
        <v>0.43200006613975322</v>
      </c>
      <c r="P11" s="2" t="s">
        <v>41</v>
      </c>
      <c r="Q11" s="2" t="s">
        <v>26</v>
      </c>
      <c r="R11" s="3">
        <v>9860</v>
      </c>
      <c r="S11" s="3">
        <f t="shared" si="6"/>
        <v>10886.039999999999</v>
      </c>
      <c r="T11" s="8">
        <f t="shared" si="7"/>
        <v>1.1040608519269777</v>
      </c>
      <c r="U11" s="10">
        <f t="shared" si="8"/>
        <v>0.10406085192697759</v>
      </c>
    </row>
    <row r="12" spans="1:21" x14ac:dyDescent="0.3">
      <c r="A12" s="5">
        <v>45343</v>
      </c>
      <c r="B12" s="2" t="str">
        <f t="shared" si="0"/>
        <v>Feb</v>
      </c>
      <c r="C12" s="2" t="str">
        <f t="shared" si="1"/>
        <v>Q1</v>
      </c>
      <c r="D12" s="2">
        <f t="shared" si="2"/>
        <v>2024</v>
      </c>
      <c r="E12" s="2" t="s">
        <v>27</v>
      </c>
      <c r="F12" s="2" t="s">
        <v>59</v>
      </c>
      <c r="G12" s="2" t="s">
        <v>44</v>
      </c>
      <c r="H12" s="2" t="s">
        <v>30</v>
      </c>
      <c r="I12" s="2" t="s">
        <v>60</v>
      </c>
      <c r="J12" s="2">
        <v>25</v>
      </c>
      <c r="K12" s="3">
        <v>10527.18</v>
      </c>
      <c r="L12" s="3">
        <f t="shared" si="3"/>
        <v>263179.5</v>
      </c>
      <c r="M12" s="3">
        <f>ROUND(L12*0.614,2)</f>
        <v>161592.21</v>
      </c>
      <c r="N12" s="3">
        <f t="shared" si="4"/>
        <v>101587.29000000001</v>
      </c>
      <c r="O12" s="8">
        <f t="shared" si="5"/>
        <v>0.38600001139906415</v>
      </c>
      <c r="P12" s="2" t="s">
        <v>25</v>
      </c>
      <c r="Q12" s="2" t="s">
        <v>35</v>
      </c>
      <c r="R12" s="3">
        <v>298803.8</v>
      </c>
      <c r="S12" s="3">
        <f t="shared" si="6"/>
        <v>263179.5</v>
      </c>
      <c r="T12" s="8">
        <f t="shared" si="7"/>
        <v>0.88077695129713884</v>
      </c>
      <c r="U12" s="10">
        <f t="shared" si="8"/>
        <v>-0.11922304870286117</v>
      </c>
    </row>
    <row r="13" spans="1:21" x14ac:dyDescent="0.3">
      <c r="A13" s="5">
        <v>45343</v>
      </c>
      <c r="B13" s="2" t="str">
        <f t="shared" si="0"/>
        <v>Feb</v>
      </c>
      <c r="C13" s="2" t="str">
        <f t="shared" si="1"/>
        <v>Q1</v>
      </c>
      <c r="D13" s="2">
        <f t="shared" si="2"/>
        <v>2024</v>
      </c>
      <c r="E13" s="2" t="s">
        <v>27</v>
      </c>
      <c r="F13" s="2" t="s">
        <v>59</v>
      </c>
      <c r="G13" s="2" t="s">
        <v>29</v>
      </c>
      <c r="H13" s="2" t="s">
        <v>52</v>
      </c>
      <c r="I13" s="2" t="s">
        <v>61</v>
      </c>
      <c r="J13" s="2">
        <v>11</v>
      </c>
      <c r="K13" s="3">
        <v>1160.82</v>
      </c>
      <c r="L13" s="3">
        <f t="shared" si="3"/>
        <v>12769.019999999999</v>
      </c>
      <c r="M13" s="3">
        <f>ROUND(L13*0.737,2)</f>
        <v>9410.77</v>
      </c>
      <c r="N13" s="3">
        <f t="shared" si="4"/>
        <v>3358.2499999999982</v>
      </c>
      <c r="O13" s="8">
        <f t="shared" si="5"/>
        <v>0.26299982300912667</v>
      </c>
      <c r="P13" s="2" t="s">
        <v>25</v>
      </c>
      <c r="Q13" s="2" t="s">
        <v>26</v>
      </c>
      <c r="R13" s="3">
        <v>14430.59</v>
      </c>
      <c r="S13" s="3">
        <f t="shared" si="6"/>
        <v>12769.019999999999</v>
      </c>
      <c r="T13" s="8">
        <f t="shared" si="7"/>
        <v>0.88485779167726331</v>
      </c>
      <c r="U13" s="10">
        <f t="shared" si="8"/>
        <v>-0.11514220832273674</v>
      </c>
    </row>
    <row r="14" spans="1:21" x14ac:dyDescent="0.3">
      <c r="A14" s="5">
        <v>45344</v>
      </c>
      <c r="B14" s="2" t="str">
        <f t="shared" si="0"/>
        <v>Feb</v>
      </c>
      <c r="C14" s="2" t="str">
        <f t="shared" si="1"/>
        <v>Q1</v>
      </c>
      <c r="D14" s="2">
        <f t="shared" si="2"/>
        <v>2024</v>
      </c>
      <c r="E14" s="2" t="s">
        <v>32</v>
      </c>
      <c r="F14" s="2" t="s">
        <v>33</v>
      </c>
      <c r="G14" s="2" t="s">
        <v>34</v>
      </c>
      <c r="H14" s="2" t="s">
        <v>39</v>
      </c>
      <c r="I14" s="2" t="s">
        <v>62</v>
      </c>
      <c r="J14" s="2">
        <v>25</v>
      </c>
      <c r="K14" s="3">
        <v>1981.37</v>
      </c>
      <c r="L14" s="3">
        <f t="shared" si="3"/>
        <v>49534.25</v>
      </c>
      <c r="M14" s="3">
        <f>ROUND(L14*0.584,2)</f>
        <v>28928</v>
      </c>
      <c r="N14" s="3">
        <f t="shared" si="4"/>
        <v>20606.25</v>
      </c>
      <c r="O14" s="8">
        <f t="shared" si="5"/>
        <v>0.41600004037610339</v>
      </c>
      <c r="P14" s="2" t="s">
        <v>41</v>
      </c>
      <c r="Q14" s="2" t="s">
        <v>26</v>
      </c>
      <c r="R14" s="3">
        <v>52219.9</v>
      </c>
      <c r="S14" s="3">
        <f t="shared" si="6"/>
        <v>49534.25</v>
      </c>
      <c r="T14" s="8">
        <f t="shared" si="7"/>
        <v>0.94857037259741972</v>
      </c>
      <c r="U14" s="10">
        <f t="shared" si="8"/>
        <v>-5.1429627402580266E-2</v>
      </c>
    </row>
    <row r="15" spans="1:21" x14ac:dyDescent="0.3">
      <c r="A15" s="5">
        <v>45345</v>
      </c>
      <c r="B15" s="2" t="str">
        <f t="shared" si="0"/>
        <v>Feb</v>
      </c>
      <c r="C15" s="2" t="str">
        <f t="shared" si="1"/>
        <v>Q1</v>
      </c>
      <c r="D15" s="2">
        <f t="shared" si="2"/>
        <v>2024</v>
      </c>
      <c r="E15" s="2" t="s">
        <v>42</v>
      </c>
      <c r="F15" s="2" t="s">
        <v>63</v>
      </c>
      <c r="G15" s="2" t="s">
        <v>29</v>
      </c>
      <c r="H15" s="2" t="s">
        <v>23</v>
      </c>
      <c r="I15" s="2" t="s">
        <v>24</v>
      </c>
      <c r="J15" s="2">
        <v>43</v>
      </c>
      <c r="K15" s="3">
        <v>18145.91</v>
      </c>
      <c r="L15" s="3">
        <f t="shared" si="3"/>
        <v>780274.13</v>
      </c>
      <c r="M15" s="3">
        <f>ROUND(L15*0.648,2)</f>
        <v>505617.64</v>
      </c>
      <c r="N15" s="3">
        <f t="shared" si="4"/>
        <v>274656.49</v>
      </c>
      <c r="O15" s="8">
        <f t="shared" si="5"/>
        <v>0.35199999518118075</v>
      </c>
      <c r="P15" s="2" t="s">
        <v>25</v>
      </c>
      <c r="Q15" s="2" t="s">
        <v>35</v>
      </c>
      <c r="R15" s="3">
        <v>805338.72</v>
      </c>
      <c r="S15" s="3">
        <f t="shared" si="6"/>
        <v>780274.13</v>
      </c>
      <c r="T15" s="8">
        <f t="shared" si="7"/>
        <v>0.96887695900179749</v>
      </c>
      <c r="U15" s="10">
        <f t="shared" si="8"/>
        <v>-3.1123040998202556E-2</v>
      </c>
    </row>
    <row r="16" spans="1:21" x14ac:dyDescent="0.3">
      <c r="A16" s="5">
        <v>45345</v>
      </c>
      <c r="B16" s="2" t="str">
        <f t="shared" si="0"/>
        <v>Feb</v>
      </c>
      <c r="C16" s="2" t="str">
        <f t="shared" si="1"/>
        <v>Q1</v>
      </c>
      <c r="D16" s="2">
        <f t="shared" si="2"/>
        <v>2024</v>
      </c>
      <c r="E16" s="2" t="s">
        <v>36</v>
      </c>
      <c r="F16" s="2" t="s">
        <v>37</v>
      </c>
      <c r="G16" s="2" t="s">
        <v>57</v>
      </c>
      <c r="H16" s="2" t="s">
        <v>23</v>
      </c>
      <c r="I16" s="2" t="s">
        <v>64</v>
      </c>
      <c r="J16" s="2">
        <v>19</v>
      </c>
      <c r="K16" s="3">
        <v>51442.05</v>
      </c>
      <c r="L16" s="3">
        <f t="shared" si="3"/>
        <v>977398.95000000007</v>
      </c>
      <c r="M16" s="3">
        <f>ROUND(L16*0.569,2)</f>
        <v>556140</v>
      </c>
      <c r="N16" s="3">
        <f t="shared" si="4"/>
        <v>421258.95000000007</v>
      </c>
      <c r="O16" s="8">
        <f t="shared" si="5"/>
        <v>0.43100000260896537</v>
      </c>
      <c r="P16" s="2" t="s">
        <v>25</v>
      </c>
      <c r="Q16" s="2" t="s">
        <v>26</v>
      </c>
      <c r="R16" s="3">
        <v>877795.83999999997</v>
      </c>
      <c r="S16" s="3">
        <f t="shared" si="6"/>
        <v>977398.95000000007</v>
      </c>
      <c r="T16" s="8">
        <f t="shared" si="7"/>
        <v>1.1134695625807478</v>
      </c>
      <c r="U16" s="10">
        <f t="shared" si="8"/>
        <v>0.11346956258074782</v>
      </c>
    </row>
    <row r="17" spans="1:21" x14ac:dyDescent="0.3">
      <c r="A17" s="5">
        <v>45345</v>
      </c>
      <c r="B17" s="2" t="str">
        <f t="shared" si="0"/>
        <v>Feb</v>
      </c>
      <c r="C17" s="2" t="str">
        <f t="shared" si="1"/>
        <v>Q1</v>
      </c>
      <c r="D17" s="2">
        <f t="shared" si="2"/>
        <v>2024</v>
      </c>
      <c r="E17" s="2" t="s">
        <v>20</v>
      </c>
      <c r="F17" s="2" t="s">
        <v>65</v>
      </c>
      <c r="G17" s="2" t="s">
        <v>44</v>
      </c>
      <c r="H17" s="2" t="s">
        <v>52</v>
      </c>
      <c r="I17" s="2" t="s">
        <v>53</v>
      </c>
      <c r="J17" s="2">
        <v>9</v>
      </c>
      <c r="K17" s="3">
        <v>865.25</v>
      </c>
      <c r="L17" s="3">
        <f t="shared" si="3"/>
        <v>7787.25</v>
      </c>
      <c r="M17" s="3">
        <f>ROUND(L17*0.551,2)</f>
        <v>4290.7700000000004</v>
      </c>
      <c r="N17" s="3">
        <f t="shared" si="4"/>
        <v>3496.4799999999996</v>
      </c>
      <c r="O17" s="8">
        <f t="shared" si="5"/>
        <v>0.4490006099714276</v>
      </c>
      <c r="P17" s="2" t="s">
        <v>41</v>
      </c>
      <c r="Q17" s="2" t="s">
        <v>35</v>
      </c>
      <c r="R17" s="3">
        <v>7904.88</v>
      </c>
      <c r="S17" s="3">
        <f t="shared" si="6"/>
        <v>7787.25</v>
      </c>
      <c r="T17" s="8">
        <f t="shared" si="7"/>
        <v>0.98511931869933511</v>
      </c>
      <c r="U17" s="10">
        <f t="shared" si="8"/>
        <v>-1.488068130066492E-2</v>
      </c>
    </row>
    <row r="18" spans="1:21" x14ac:dyDescent="0.3">
      <c r="A18" s="5">
        <v>45347</v>
      </c>
      <c r="B18" s="2" t="str">
        <f t="shared" si="0"/>
        <v>Feb</v>
      </c>
      <c r="C18" s="2" t="str">
        <f t="shared" si="1"/>
        <v>Q1</v>
      </c>
      <c r="D18" s="2">
        <f t="shared" si="2"/>
        <v>2024</v>
      </c>
      <c r="E18" s="2" t="s">
        <v>20</v>
      </c>
      <c r="F18" s="2" t="s">
        <v>21</v>
      </c>
      <c r="G18" s="2" t="s">
        <v>66</v>
      </c>
      <c r="H18" s="2" t="s">
        <v>45</v>
      </c>
      <c r="I18" s="2" t="s">
        <v>46</v>
      </c>
      <c r="J18" s="2">
        <v>13</v>
      </c>
      <c r="K18" s="3">
        <v>1170.08</v>
      </c>
      <c r="L18" s="3">
        <f t="shared" si="3"/>
        <v>15211.039999999999</v>
      </c>
      <c r="M18" s="3">
        <f>ROUND(L18*0.673,2)</f>
        <v>10237.030000000001</v>
      </c>
      <c r="N18" s="3">
        <f t="shared" si="4"/>
        <v>4974.0099999999984</v>
      </c>
      <c r="O18" s="8">
        <f t="shared" si="5"/>
        <v>0.32699999474066194</v>
      </c>
      <c r="P18" s="2" t="s">
        <v>41</v>
      </c>
      <c r="Q18" s="2" t="s">
        <v>35</v>
      </c>
      <c r="R18" s="3">
        <v>13569.08</v>
      </c>
      <c r="S18" s="3">
        <f t="shared" si="6"/>
        <v>15211.039999999999</v>
      </c>
      <c r="T18" s="8">
        <f t="shared" si="7"/>
        <v>1.1210074669763903</v>
      </c>
      <c r="U18" s="10">
        <f t="shared" si="8"/>
        <v>0.12100746697639038</v>
      </c>
    </row>
    <row r="19" spans="1:21" x14ac:dyDescent="0.3">
      <c r="A19" s="5">
        <v>45356</v>
      </c>
      <c r="B19" s="2" t="str">
        <f t="shared" si="0"/>
        <v>Mar</v>
      </c>
      <c r="C19" s="2" t="str">
        <f t="shared" si="1"/>
        <v>Q1</v>
      </c>
      <c r="D19" s="2">
        <f t="shared" si="2"/>
        <v>2024</v>
      </c>
      <c r="E19" s="2" t="s">
        <v>36</v>
      </c>
      <c r="F19" s="2" t="s">
        <v>67</v>
      </c>
      <c r="G19" s="2" t="s">
        <v>68</v>
      </c>
      <c r="H19" s="2" t="s">
        <v>30</v>
      </c>
      <c r="I19" s="2" t="s">
        <v>69</v>
      </c>
      <c r="J19" s="2">
        <v>3</v>
      </c>
      <c r="K19" s="3">
        <v>20508.849999999999</v>
      </c>
      <c r="L19" s="3">
        <f t="shared" si="3"/>
        <v>61526.549999999996</v>
      </c>
      <c r="M19" s="3">
        <f>ROUND(L19*0.623,2)</f>
        <v>38331.040000000001</v>
      </c>
      <c r="N19" s="3">
        <f t="shared" si="4"/>
        <v>23195.509999999995</v>
      </c>
      <c r="O19" s="8">
        <f t="shared" si="5"/>
        <v>0.37700001056454485</v>
      </c>
      <c r="P19" s="2" t="s">
        <v>25</v>
      </c>
      <c r="Q19" s="2" t="s">
        <v>35</v>
      </c>
      <c r="R19" s="3">
        <v>58020.94</v>
      </c>
      <c r="S19" s="3">
        <f t="shared" si="6"/>
        <v>61526.549999999996</v>
      </c>
      <c r="T19" s="8">
        <f t="shared" si="7"/>
        <v>1.0604197381152389</v>
      </c>
      <c r="U19" s="10">
        <f t="shared" si="8"/>
        <v>6.0419738115238965E-2</v>
      </c>
    </row>
    <row r="20" spans="1:21" x14ac:dyDescent="0.3">
      <c r="A20" s="5">
        <v>45362</v>
      </c>
      <c r="B20" s="2" t="str">
        <f t="shared" si="0"/>
        <v>Mar</v>
      </c>
      <c r="C20" s="2" t="str">
        <f t="shared" si="1"/>
        <v>Q1</v>
      </c>
      <c r="D20" s="2">
        <f t="shared" si="2"/>
        <v>2024</v>
      </c>
      <c r="E20" s="2" t="s">
        <v>32</v>
      </c>
      <c r="F20" s="2" t="s">
        <v>70</v>
      </c>
      <c r="G20" s="2" t="s">
        <v>38</v>
      </c>
      <c r="H20" s="2" t="s">
        <v>52</v>
      </c>
      <c r="I20" s="2" t="s">
        <v>71</v>
      </c>
      <c r="J20" s="2">
        <v>24</v>
      </c>
      <c r="K20" s="3">
        <v>260.82</v>
      </c>
      <c r="L20" s="3">
        <f t="shared" si="3"/>
        <v>6259.68</v>
      </c>
      <c r="M20" s="3">
        <f>ROUND(L20*0.696,2)</f>
        <v>4356.74</v>
      </c>
      <c r="N20" s="3">
        <f t="shared" si="4"/>
        <v>1902.9400000000005</v>
      </c>
      <c r="O20" s="8">
        <f t="shared" si="5"/>
        <v>0.3039995654729955</v>
      </c>
      <c r="P20" s="2" t="s">
        <v>41</v>
      </c>
      <c r="Q20" s="2" t="s">
        <v>35</v>
      </c>
      <c r="R20" s="3">
        <v>6876.96</v>
      </c>
      <c r="S20" s="3">
        <f t="shared" si="6"/>
        <v>6259.68</v>
      </c>
      <c r="T20" s="8">
        <f t="shared" si="7"/>
        <v>0.91023940811056048</v>
      </c>
      <c r="U20" s="10">
        <f t="shared" si="8"/>
        <v>-8.9760591889439481E-2</v>
      </c>
    </row>
    <row r="21" spans="1:21" x14ac:dyDescent="0.3">
      <c r="A21" s="5">
        <v>45362</v>
      </c>
      <c r="B21" s="2" t="str">
        <f t="shared" si="0"/>
        <v>Mar</v>
      </c>
      <c r="C21" s="2" t="str">
        <f t="shared" si="1"/>
        <v>Q1</v>
      </c>
      <c r="D21" s="2">
        <f t="shared" si="2"/>
        <v>2024</v>
      </c>
      <c r="E21" s="2" t="s">
        <v>36</v>
      </c>
      <c r="F21" s="2" t="s">
        <v>67</v>
      </c>
      <c r="G21" s="2" t="s">
        <v>68</v>
      </c>
      <c r="H21" s="2" t="s">
        <v>52</v>
      </c>
      <c r="I21" s="2" t="s">
        <v>61</v>
      </c>
      <c r="J21" s="2">
        <v>42</v>
      </c>
      <c r="K21" s="3">
        <v>957.42</v>
      </c>
      <c r="L21" s="3">
        <f t="shared" si="3"/>
        <v>40211.64</v>
      </c>
      <c r="M21" s="3">
        <f>ROUND(L21*0.775,2)</f>
        <v>31164.02</v>
      </c>
      <c r="N21" s="3">
        <f t="shared" si="4"/>
        <v>9047.619999999999</v>
      </c>
      <c r="O21" s="8">
        <f t="shared" si="5"/>
        <v>0.22500002486842116</v>
      </c>
      <c r="P21" s="2" t="s">
        <v>25</v>
      </c>
      <c r="Q21" s="2" t="s">
        <v>35</v>
      </c>
      <c r="R21" s="3">
        <v>41971.47</v>
      </c>
      <c r="S21" s="3">
        <f t="shared" si="6"/>
        <v>40211.64</v>
      </c>
      <c r="T21" s="8">
        <f t="shared" si="7"/>
        <v>0.95807080381030252</v>
      </c>
      <c r="U21" s="10">
        <f t="shared" si="8"/>
        <v>-4.1929196189697468E-2</v>
      </c>
    </row>
    <row r="22" spans="1:21" x14ac:dyDescent="0.3">
      <c r="A22" s="5">
        <v>45365</v>
      </c>
      <c r="B22" s="2" t="str">
        <f t="shared" si="0"/>
        <v>Mar</v>
      </c>
      <c r="C22" s="2" t="str">
        <f t="shared" si="1"/>
        <v>Q1</v>
      </c>
      <c r="D22" s="2">
        <f t="shared" si="2"/>
        <v>2024</v>
      </c>
      <c r="E22" s="2" t="s">
        <v>20</v>
      </c>
      <c r="F22" s="2" t="s">
        <v>72</v>
      </c>
      <c r="G22" s="2" t="s">
        <v>68</v>
      </c>
      <c r="H22" s="2" t="s">
        <v>39</v>
      </c>
      <c r="I22" s="2" t="s">
        <v>62</v>
      </c>
      <c r="J22" s="2">
        <v>29</v>
      </c>
      <c r="K22" s="3">
        <v>2318.66</v>
      </c>
      <c r="L22" s="3">
        <f t="shared" si="3"/>
        <v>67241.14</v>
      </c>
      <c r="M22" s="3">
        <f>ROUND(L22*0.579,2)</f>
        <v>38932.620000000003</v>
      </c>
      <c r="N22" s="3">
        <f t="shared" si="4"/>
        <v>28308.519999999997</v>
      </c>
      <c r="O22" s="8">
        <f t="shared" si="5"/>
        <v>0.42100000089231082</v>
      </c>
      <c r="P22" s="2" t="s">
        <v>25</v>
      </c>
      <c r="Q22" s="2" t="s">
        <v>35</v>
      </c>
      <c r="R22" s="3">
        <v>71047.22</v>
      </c>
      <c r="S22" s="3">
        <f t="shared" si="6"/>
        <v>67241.14</v>
      </c>
      <c r="T22" s="8">
        <f t="shared" si="7"/>
        <v>0.94642886801200665</v>
      </c>
      <c r="U22" s="10">
        <f t="shared" si="8"/>
        <v>-5.3571131987993362E-2</v>
      </c>
    </row>
    <row r="23" spans="1:21" x14ac:dyDescent="0.3">
      <c r="A23" s="5">
        <v>45371</v>
      </c>
      <c r="B23" s="2" t="str">
        <f t="shared" si="0"/>
        <v>Mar</v>
      </c>
      <c r="C23" s="2" t="str">
        <f t="shared" si="1"/>
        <v>Q1</v>
      </c>
      <c r="D23" s="2">
        <f t="shared" si="2"/>
        <v>2024</v>
      </c>
      <c r="E23" s="2" t="s">
        <v>32</v>
      </c>
      <c r="F23" s="2" t="s">
        <v>73</v>
      </c>
      <c r="G23" s="2" t="s">
        <v>38</v>
      </c>
      <c r="H23" s="2" t="s">
        <v>39</v>
      </c>
      <c r="I23" s="2" t="s">
        <v>62</v>
      </c>
      <c r="J23" s="2">
        <v>35</v>
      </c>
      <c r="K23" s="3">
        <v>664.16</v>
      </c>
      <c r="L23" s="3">
        <f t="shared" si="3"/>
        <v>23245.599999999999</v>
      </c>
      <c r="M23" s="3">
        <f>ROUND(L23*0.584,2)</f>
        <v>13575.43</v>
      </c>
      <c r="N23" s="3">
        <f t="shared" si="4"/>
        <v>9670.1699999999983</v>
      </c>
      <c r="O23" s="8">
        <f t="shared" si="5"/>
        <v>0.41600001720755753</v>
      </c>
      <c r="P23" s="2" t="s">
        <v>25</v>
      </c>
      <c r="Q23" s="2" t="s">
        <v>26</v>
      </c>
      <c r="R23" s="3">
        <v>22046.95</v>
      </c>
      <c r="S23" s="3">
        <f t="shared" si="6"/>
        <v>23245.599999999999</v>
      </c>
      <c r="T23" s="8">
        <f t="shared" si="7"/>
        <v>1.0543680645168605</v>
      </c>
      <c r="U23" s="10">
        <f t="shared" si="8"/>
        <v>5.4368064516860506E-2</v>
      </c>
    </row>
    <row r="24" spans="1:21" x14ac:dyDescent="0.3">
      <c r="A24" s="5">
        <v>45375</v>
      </c>
      <c r="B24" s="2" t="str">
        <f t="shared" si="0"/>
        <v>Mar</v>
      </c>
      <c r="C24" s="2" t="str">
        <f t="shared" si="1"/>
        <v>Q1</v>
      </c>
      <c r="D24" s="2">
        <f t="shared" si="2"/>
        <v>2024</v>
      </c>
      <c r="E24" s="2" t="s">
        <v>36</v>
      </c>
      <c r="F24" s="2" t="s">
        <v>67</v>
      </c>
      <c r="G24" s="2" t="s">
        <v>48</v>
      </c>
      <c r="H24" s="2" t="s">
        <v>39</v>
      </c>
      <c r="I24" s="2" t="s">
        <v>40</v>
      </c>
      <c r="J24" s="2">
        <v>23</v>
      </c>
      <c r="K24" s="3">
        <v>2499.79</v>
      </c>
      <c r="L24" s="3">
        <f t="shared" si="3"/>
        <v>57495.17</v>
      </c>
      <c r="M24" s="3">
        <f>ROUND(L24*0.602,2)</f>
        <v>34612.089999999997</v>
      </c>
      <c r="N24" s="3">
        <f t="shared" si="4"/>
        <v>22883.08</v>
      </c>
      <c r="O24" s="8">
        <f t="shared" si="5"/>
        <v>0.39800004069907091</v>
      </c>
      <c r="P24" s="2" t="s">
        <v>41</v>
      </c>
      <c r="Q24" s="2" t="s">
        <v>26</v>
      </c>
      <c r="R24" s="3">
        <v>50054.46</v>
      </c>
      <c r="S24" s="3">
        <f t="shared" si="6"/>
        <v>57495.17</v>
      </c>
      <c r="T24" s="8">
        <f t="shared" si="7"/>
        <v>1.1486522879279888</v>
      </c>
      <c r="U24" s="10">
        <f t="shared" si="8"/>
        <v>0.14865228792798882</v>
      </c>
    </row>
    <row r="25" spans="1:21" x14ac:dyDescent="0.3">
      <c r="A25" s="5">
        <v>45375</v>
      </c>
      <c r="B25" s="2" t="str">
        <f t="shared" si="0"/>
        <v>Mar</v>
      </c>
      <c r="C25" s="2" t="str">
        <f t="shared" si="1"/>
        <v>Q1</v>
      </c>
      <c r="D25" s="2">
        <f t="shared" si="2"/>
        <v>2024</v>
      </c>
      <c r="E25" s="2" t="s">
        <v>32</v>
      </c>
      <c r="F25" s="2" t="s">
        <v>74</v>
      </c>
      <c r="G25" s="2" t="s">
        <v>44</v>
      </c>
      <c r="H25" s="2" t="s">
        <v>45</v>
      </c>
      <c r="I25" s="2" t="s">
        <v>75</v>
      </c>
      <c r="J25" s="2">
        <v>6</v>
      </c>
      <c r="K25" s="3">
        <v>798.88</v>
      </c>
      <c r="L25" s="3">
        <f t="shared" si="3"/>
        <v>4793.28</v>
      </c>
      <c r="M25" s="3">
        <f>ROUND(L25*0.621,2)</f>
        <v>2976.63</v>
      </c>
      <c r="N25" s="3">
        <f t="shared" si="4"/>
        <v>1816.6499999999996</v>
      </c>
      <c r="O25" s="8">
        <f t="shared" si="5"/>
        <v>0.37899934908872418</v>
      </c>
      <c r="P25" s="2" t="s">
        <v>25</v>
      </c>
      <c r="Q25" s="2" t="s">
        <v>26</v>
      </c>
      <c r="R25" s="3">
        <v>4615.95</v>
      </c>
      <c r="S25" s="3">
        <f t="shared" si="6"/>
        <v>4793.28</v>
      </c>
      <c r="T25" s="8">
        <f t="shared" si="7"/>
        <v>1.038416793942742</v>
      </c>
      <c r="U25" s="10">
        <f t="shared" si="8"/>
        <v>3.8416793942742E-2</v>
      </c>
    </row>
    <row r="26" spans="1:21" x14ac:dyDescent="0.3">
      <c r="A26" s="5">
        <v>45384</v>
      </c>
      <c r="B26" s="2" t="str">
        <f t="shared" si="0"/>
        <v>Apr</v>
      </c>
      <c r="C26" s="2" t="str">
        <f t="shared" si="1"/>
        <v>Q2</v>
      </c>
      <c r="D26" s="2">
        <f t="shared" si="2"/>
        <v>2024</v>
      </c>
      <c r="E26" s="2" t="s">
        <v>36</v>
      </c>
      <c r="F26" s="2" t="s">
        <v>67</v>
      </c>
      <c r="G26" s="2" t="s">
        <v>68</v>
      </c>
      <c r="H26" s="2" t="s">
        <v>39</v>
      </c>
      <c r="I26" s="2" t="s">
        <v>40</v>
      </c>
      <c r="J26" s="2">
        <v>44</v>
      </c>
      <c r="K26" s="3">
        <v>1245.46</v>
      </c>
      <c r="L26" s="3">
        <f t="shared" si="3"/>
        <v>54800.240000000005</v>
      </c>
      <c r="M26" s="3">
        <f>ROUND(L26*0.722,2)</f>
        <v>39565.769999999997</v>
      </c>
      <c r="N26" s="3">
        <f t="shared" si="4"/>
        <v>15234.470000000008</v>
      </c>
      <c r="O26" s="8">
        <f t="shared" si="5"/>
        <v>0.27800005985375259</v>
      </c>
      <c r="P26" s="2" t="s">
        <v>25</v>
      </c>
      <c r="Q26" s="2" t="s">
        <v>35</v>
      </c>
      <c r="R26" s="3">
        <v>50890.16</v>
      </c>
      <c r="S26" s="3">
        <f t="shared" si="6"/>
        <v>54800.240000000005</v>
      </c>
      <c r="T26" s="8">
        <f t="shared" si="7"/>
        <v>1.0768337140225144</v>
      </c>
      <c r="U26" s="10">
        <f t="shared" si="8"/>
        <v>7.6833714022514404E-2</v>
      </c>
    </row>
    <row r="27" spans="1:21" x14ac:dyDescent="0.3">
      <c r="A27" s="5">
        <v>45387</v>
      </c>
      <c r="B27" s="2" t="str">
        <f t="shared" si="0"/>
        <v>Apr</v>
      </c>
      <c r="C27" s="2" t="str">
        <f t="shared" si="1"/>
        <v>Q2</v>
      </c>
      <c r="D27" s="2">
        <f t="shared" si="2"/>
        <v>2024</v>
      </c>
      <c r="E27" s="2" t="s">
        <v>36</v>
      </c>
      <c r="F27" s="2" t="s">
        <v>76</v>
      </c>
      <c r="G27" s="2" t="s">
        <v>66</v>
      </c>
      <c r="H27" s="2" t="s">
        <v>39</v>
      </c>
      <c r="I27" s="2" t="s">
        <v>56</v>
      </c>
      <c r="J27" s="2">
        <v>1</v>
      </c>
      <c r="K27" s="3">
        <v>328.12</v>
      </c>
      <c r="L27" s="3">
        <f t="shared" si="3"/>
        <v>328.12</v>
      </c>
      <c r="M27" s="3">
        <f>ROUND(L27*0.712,2)</f>
        <v>233.62</v>
      </c>
      <c r="N27" s="3">
        <f t="shared" si="4"/>
        <v>94.5</v>
      </c>
      <c r="O27" s="8">
        <f t="shared" si="5"/>
        <v>0.28800438863830308</v>
      </c>
      <c r="P27" s="2" t="s">
        <v>25</v>
      </c>
      <c r="Q27" s="2" t="s">
        <v>35</v>
      </c>
      <c r="R27" s="3">
        <v>287.04000000000002</v>
      </c>
      <c r="S27" s="3">
        <f t="shared" si="6"/>
        <v>328.12</v>
      </c>
      <c r="T27" s="8">
        <f t="shared" si="7"/>
        <v>1.1431159420289854</v>
      </c>
      <c r="U27" s="10">
        <f t="shared" si="8"/>
        <v>0.14311594202898545</v>
      </c>
    </row>
    <row r="28" spans="1:21" x14ac:dyDescent="0.3">
      <c r="A28" s="5">
        <v>45402</v>
      </c>
      <c r="B28" s="2" t="str">
        <f t="shared" si="0"/>
        <v>Apr</v>
      </c>
      <c r="C28" s="2" t="str">
        <f t="shared" si="1"/>
        <v>Q2</v>
      </c>
      <c r="D28" s="2">
        <f t="shared" si="2"/>
        <v>2024</v>
      </c>
      <c r="E28" s="2" t="s">
        <v>42</v>
      </c>
      <c r="F28" s="2" t="s">
        <v>43</v>
      </c>
      <c r="G28" s="2" t="s">
        <v>38</v>
      </c>
      <c r="H28" s="2" t="s">
        <v>39</v>
      </c>
      <c r="I28" s="2" t="s">
        <v>62</v>
      </c>
      <c r="J28" s="2">
        <v>40</v>
      </c>
      <c r="K28" s="3">
        <v>953.74</v>
      </c>
      <c r="L28" s="3">
        <f t="shared" si="3"/>
        <v>38149.599999999999</v>
      </c>
      <c r="M28" s="3">
        <f>ROUND(L28*0.601,2)</f>
        <v>22927.91</v>
      </c>
      <c r="N28" s="3">
        <f t="shared" si="4"/>
        <v>15221.689999999999</v>
      </c>
      <c r="O28" s="8">
        <f t="shared" si="5"/>
        <v>0.39899998951496213</v>
      </c>
      <c r="P28" s="2" t="s">
        <v>25</v>
      </c>
      <c r="Q28" s="2" t="s">
        <v>35</v>
      </c>
      <c r="R28" s="3">
        <v>33150.67</v>
      </c>
      <c r="S28" s="3">
        <f t="shared" si="6"/>
        <v>38149.599999999999</v>
      </c>
      <c r="T28" s="8">
        <f t="shared" si="7"/>
        <v>1.1507942373412061</v>
      </c>
      <c r="U28" s="10">
        <f t="shared" si="8"/>
        <v>0.15079423734120609</v>
      </c>
    </row>
    <row r="29" spans="1:21" x14ac:dyDescent="0.3">
      <c r="A29" s="5">
        <v>45406</v>
      </c>
      <c r="B29" s="2" t="str">
        <f t="shared" si="0"/>
        <v>Apr</v>
      </c>
      <c r="C29" s="2" t="str">
        <f t="shared" si="1"/>
        <v>Q2</v>
      </c>
      <c r="D29" s="2">
        <f t="shared" si="2"/>
        <v>2024</v>
      </c>
      <c r="E29" s="2" t="s">
        <v>27</v>
      </c>
      <c r="F29" s="2" t="s">
        <v>59</v>
      </c>
      <c r="G29" s="2" t="s">
        <v>34</v>
      </c>
      <c r="H29" s="2" t="s">
        <v>52</v>
      </c>
      <c r="I29" s="2" t="s">
        <v>53</v>
      </c>
      <c r="J29" s="2">
        <v>17</v>
      </c>
      <c r="K29" s="3">
        <v>1151.51</v>
      </c>
      <c r="L29" s="3">
        <f t="shared" si="3"/>
        <v>19575.669999999998</v>
      </c>
      <c r="M29" s="3">
        <f>ROUND(L29*0.774,2)</f>
        <v>15151.57</v>
      </c>
      <c r="N29" s="3">
        <f t="shared" si="4"/>
        <v>4424.0999999999985</v>
      </c>
      <c r="O29" s="8">
        <f t="shared" si="5"/>
        <v>0.22599992746097575</v>
      </c>
      <c r="P29" s="2" t="s">
        <v>41</v>
      </c>
      <c r="Q29" s="2" t="s">
        <v>35</v>
      </c>
      <c r="R29" s="3">
        <v>21114.1</v>
      </c>
      <c r="S29" s="3">
        <f t="shared" si="6"/>
        <v>19575.669999999998</v>
      </c>
      <c r="T29" s="8">
        <f t="shared" si="7"/>
        <v>0.92713731582212833</v>
      </c>
      <c r="U29" s="10">
        <f t="shared" si="8"/>
        <v>-7.2862684177871673E-2</v>
      </c>
    </row>
    <row r="30" spans="1:21" x14ac:dyDescent="0.3">
      <c r="A30" s="5">
        <v>45406</v>
      </c>
      <c r="B30" s="2" t="str">
        <f t="shared" si="0"/>
        <v>Apr</v>
      </c>
      <c r="C30" s="2" t="str">
        <f t="shared" si="1"/>
        <v>Q2</v>
      </c>
      <c r="D30" s="2">
        <f t="shared" si="2"/>
        <v>2024</v>
      </c>
      <c r="E30" s="2" t="s">
        <v>27</v>
      </c>
      <c r="F30" s="2" t="s">
        <v>28</v>
      </c>
      <c r="G30" s="2" t="s">
        <v>22</v>
      </c>
      <c r="H30" s="2" t="s">
        <v>23</v>
      </c>
      <c r="I30" s="2" t="s">
        <v>77</v>
      </c>
      <c r="J30" s="2">
        <v>6</v>
      </c>
      <c r="K30" s="3">
        <v>52985.55</v>
      </c>
      <c r="L30" s="3">
        <f t="shared" si="3"/>
        <v>317913.30000000005</v>
      </c>
      <c r="M30" s="3">
        <f>ROUND(L30*0.57,2)</f>
        <v>181210.58</v>
      </c>
      <c r="N30" s="3">
        <f t="shared" si="4"/>
        <v>136702.72000000006</v>
      </c>
      <c r="O30" s="8">
        <f t="shared" si="5"/>
        <v>0.43000000314551179</v>
      </c>
      <c r="P30" s="2" t="s">
        <v>41</v>
      </c>
      <c r="Q30" s="2" t="s">
        <v>26</v>
      </c>
      <c r="R30" s="3">
        <v>316577.15000000002</v>
      </c>
      <c r="S30" s="3">
        <f t="shared" si="6"/>
        <v>317913.30000000005</v>
      </c>
      <c r="T30" s="8">
        <f t="shared" si="7"/>
        <v>1.0042206141536116</v>
      </c>
      <c r="U30" s="10">
        <f t="shared" si="8"/>
        <v>4.2206141536116019E-3</v>
      </c>
    </row>
    <row r="31" spans="1:21" x14ac:dyDescent="0.3">
      <c r="A31" s="5">
        <v>45409</v>
      </c>
      <c r="B31" s="2" t="str">
        <f t="shared" si="0"/>
        <v>Apr</v>
      </c>
      <c r="C31" s="2" t="str">
        <f t="shared" si="1"/>
        <v>Q2</v>
      </c>
      <c r="D31" s="2">
        <f t="shared" si="2"/>
        <v>2024</v>
      </c>
      <c r="E31" s="2" t="s">
        <v>36</v>
      </c>
      <c r="F31" s="2" t="s">
        <v>67</v>
      </c>
      <c r="G31" s="2" t="s">
        <v>44</v>
      </c>
      <c r="H31" s="2" t="s">
        <v>30</v>
      </c>
      <c r="I31" s="2" t="s">
        <v>50</v>
      </c>
      <c r="J31" s="2">
        <v>45</v>
      </c>
      <c r="K31" s="3">
        <v>13392.08</v>
      </c>
      <c r="L31" s="3">
        <f t="shared" si="3"/>
        <v>602643.6</v>
      </c>
      <c r="M31" s="3">
        <f>ROUND(L31*0.762,2)</f>
        <v>459214.42</v>
      </c>
      <c r="N31" s="3">
        <f t="shared" si="4"/>
        <v>143429.18</v>
      </c>
      <c r="O31" s="8">
        <f t="shared" si="5"/>
        <v>0.23800000530993776</v>
      </c>
      <c r="P31" s="2" t="s">
        <v>41</v>
      </c>
      <c r="Q31" s="2" t="s">
        <v>26</v>
      </c>
      <c r="R31" s="3">
        <v>528180.32999999996</v>
      </c>
      <c r="S31" s="3">
        <f t="shared" si="6"/>
        <v>602643.6</v>
      </c>
      <c r="T31" s="8">
        <f t="shared" si="7"/>
        <v>1.1409807707151836</v>
      </c>
      <c r="U31" s="10">
        <f t="shared" si="8"/>
        <v>0.14098077071518364</v>
      </c>
    </row>
    <row r="32" spans="1:21" x14ac:dyDescent="0.3">
      <c r="A32" s="5">
        <v>45410</v>
      </c>
      <c r="B32" s="2" t="str">
        <f t="shared" si="0"/>
        <v>Apr</v>
      </c>
      <c r="C32" s="2" t="str">
        <f t="shared" si="1"/>
        <v>Q2</v>
      </c>
      <c r="D32" s="2">
        <f t="shared" si="2"/>
        <v>2024</v>
      </c>
      <c r="E32" s="2" t="s">
        <v>27</v>
      </c>
      <c r="F32" s="2" t="s">
        <v>78</v>
      </c>
      <c r="G32" s="2" t="s">
        <v>29</v>
      </c>
      <c r="H32" s="2" t="s">
        <v>45</v>
      </c>
      <c r="I32" s="2" t="s">
        <v>46</v>
      </c>
      <c r="J32" s="2">
        <v>28</v>
      </c>
      <c r="K32" s="3">
        <v>735.16</v>
      </c>
      <c r="L32" s="3">
        <f t="shared" si="3"/>
        <v>20584.48</v>
      </c>
      <c r="M32" s="3">
        <f>ROUND(L32*0.63,2)</f>
        <v>12968.22</v>
      </c>
      <c r="N32" s="3">
        <f t="shared" si="4"/>
        <v>7616.26</v>
      </c>
      <c r="O32" s="8">
        <f t="shared" si="5"/>
        <v>0.37000011659269511</v>
      </c>
      <c r="P32" s="2" t="s">
        <v>25</v>
      </c>
      <c r="Q32" s="2" t="s">
        <v>26</v>
      </c>
      <c r="R32" s="3">
        <v>22353.27</v>
      </c>
      <c r="S32" s="3">
        <f t="shared" si="6"/>
        <v>20584.48</v>
      </c>
      <c r="T32" s="8">
        <f t="shared" si="7"/>
        <v>0.92087108508061677</v>
      </c>
      <c r="U32" s="10">
        <f t="shared" si="8"/>
        <v>-7.9128914919383203E-2</v>
      </c>
    </row>
    <row r="33" spans="1:21" x14ac:dyDescent="0.3">
      <c r="A33" s="5">
        <v>45422</v>
      </c>
      <c r="B33" s="2" t="str">
        <f t="shared" si="0"/>
        <v>May</v>
      </c>
      <c r="C33" s="2" t="str">
        <f t="shared" si="1"/>
        <v>Q2</v>
      </c>
      <c r="D33" s="2">
        <f t="shared" si="2"/>
        <v>2024</v>
      </c>
      <c r="E33" s="2" t="s">
        <v>32</v>
      </c>
      <c r="F33" s="2" t="s">
        <v>73</v>
      </c>
      <c r="G33" s="2" t="s">
        <v>66</v>
      </c>
      <c r="H33" s="2" t="s">
        <v>39</v>
      </c>
      <c r="I33" s="2" t="s">
        <v>62</v>
      </c>
      <c r="J33" s="2">
        <v>6</v>
      </c>
      <c r="K33" s="3">
        <v>1724.56</v>
      </c>
      <c r="L33" s="3">
        <f t="shared" si="3"/>
        <v>10347.36</v>
      </c>
      <c r="M33" s="3">
        <f>ROUND(L33*0.698,2)</f>
        <v>7222.46</v>
      </c>
      <c r="N33" s="3">
        <f t="shared" si="4"/>
        <v>3124.9000000000005</v>
      </c>
      <c r="O33" s="8">
        <f t="shared" si="5"/>
        <v>0.30199973713101702</v>
      </c>
      <c r="P33" s="2" t="s">
        <v>25</v>
      </c>
      <c r="Q33" s="2" t="s">
        <v>26</v>
      </c>
      <c r="R33" s="3">
        <v>9216.5</v>
      </c>
      <c r="S33" s="3">
        <f t="shared" si="6"/>
        <v>10347.36</v>
      </c>
      <c r="T33" s="8">
        <f t="shared" si="7"/>
        <v>1.1226995063201868</v>
      </c>
      <c r="U33" s="10">
        <f t="shared" si="8"/>
        <v>0.12269950632018668</v>
      </c>
    </row>
    <row r="34" spans="1:21" x14ac:dyDescent="0.3">
      <c r="A34" s="5">
        <v>45423</v>
      </c>
      <c r="B34" s="2" t="str">
        <f t="shared" si="0"/>
        <v>May</v>
      </c>
      <c r="C34" s="2" t="str">
        <f t="shared" si="1"/>
        <v>Q2</v>
      </c>
      <c r="D34" s="2">
        <f t="shared" si="2"/>
        <v>2024</v>
      </c>
      <c r="E34" s="2" t="s">
        <v>36</v>
      </c>
      <c r="F34" s="2" t="s">
        <v>79</v>
      </c>
      <c r="G34" s="2" t="s">
        <v>68</v>
      </c>
      <c r="H34" s="2" t="s">
        <v>39</v>
      </c>
      <c r="I34" s="2" t="s">
        <v>62</v>
      </c>
      <c r="J34" s="2">
        <v>14</v>
      </c>
      <c r="K34" s="3">
        <v>1172.6400000000001</v>
      </c>
      <c r="L34" s="3">
        <f t="shared" si="3"/>
        <v>16416.960000000003</v>
      </c>
      <c r="M34" s="3">
        <f>ROUND(L34*0.764,2)</f>
        <v>12542.56</v>
      </c>
      <c r="N34" s="3">
        <f t="shared" si="4"/>
        <v>3874.4000000000033</v>
      </c>
      <c r="O34" s="8">
        <f t="shared" si="5"/>
        <v>0.23599984406370014</v>
      </c>
      <c r="P34" s="2" t="s">
        <v>41</v>
      </c>
      <c r="Q34" s="2" t="s">
        <v>35</v>
      </c>
      <c r="R34" s="3">
        <v>17674.16</v>
      </c>
      <c r="S34" s="3">
        <f t="shared" si="6"/>
        <v>16416.960000000003</v>
      </c>
      <c r="T34" s="8">
        <f t="shared" si="7"/>
        <v>0.92886790659358087</v>
      </c>
      <c r="U34" s="10">
        <f t="shared" si="8"/>
        <v>-7.1132093406419156E-2</v>
      </c>
    </row>
    <row r="35" spans="1:21" x14ac:dyDescent="0.3">
      <c r="A35" s="5">
        <v>45426</v>
      </c>
      <c r="B35" s="2" t="str">
        <f t="shared" si="0"/>
        <v>May</v>
      </c>
      <c r="C35" s="2" t="str">
        <f t="shared" si="1"/>
        <v>Q2</v>
      </c>
      <c r="D35" s="2">
        <f t="shared" si="2"/>
        <v>2024</v>
      </c>
      <c r="E35" s="2" t="s">
        <v>20</v>
      </c>
      <c r="F35" s="2" t="s">
        <v>54</v>
      </c>
      <c r="G35" s="2" t="s">
        <v>44</v>
      </c>
      <c r="H35" s="2" t="s">
        <v>52</v>
      </c>
      <c r="I35" s="2" t="s">
        <v>61</v>
      </c>
      <c r="J35" s="2">
        <v>35</v>
      </c>
      <c r="K35" s="3">
        <v>360.83</v>
      </c>
      <c r="L35" s="3">
        <f t="shared" si="3"/>
        <v>12629.05</v>
      </c>
      <c r="M35" s="3">
        <f>ROUND(L35*0.752,2)</f>
        <v>9497.0499999999993</v>
      </c>
      <c r="N35" s="3">
        <f t="shared" si="4"/>
        <v>3132</v>
      </c>
      <c r="O35" s="8">
        <f t="shared" si="5"/>
        <v>0.24799965159691348</v>
      </c>
      <c r="P35" s="2" t="s">
        <v>25</v>
      </c>
      <c r="Q35" s="2" t="s">
        <v>26</v>
      </c>
      <c r="R35" s="3">
        <v>12120.82</v>
      </c>
      <c r="S35" s="3">
        <f t="shared" si="6"/>
        <v>12629.05</v>
      </c>
      <c r="T35" s="8">
        <f t="shared" si="7"/>
        <v>1.0419303314462223</v>
      </c>
      <c r="U35" s="10">
        <f t="shared" si="8"/>
        <v>4.1930331446222248E-2</v>
      </c>
    </row>
    <row r="36" spans="1:21" x14ac:dyDescent="0.3">
      <c r="A36" s="5">
        <v>45428</v>
      </c>
      <c r="B36" s="2" t="str">
        <f t="shared" si="0"/>
        <v>May</v>
      </c>
      <c r="C36" s="2" t="str">
        <f t="shared" si="1"/>
        <v>Q2</v>
      </c>
      <c r="D36" s="2">
        <f t="shared" si="2"/>
        <v>2024</v>
      </c>
      <c r="E36" s="2" t="s">
        <v>20</v>
      </c>
      <c r="F36" s="2" t="s">
        <v>54</v>
      </c>
      <c r="G36" s="2" t="s">
        <v>57</v>
      </c>
      <c r="H36" s="2" t="s">
        <v>45</v>
      </c>
      <c r="I36" s="2" t="s">
        <v>80</v>
      </c>
      <c r="J36" s="2">
        <v>44</v>
      </c>
      <c r="K36" s="3">
        <v>2974.02</v>
      </c>
      <c r="L36" s="3">
        <f t="shared" si="3"/>
        <v>130856.88</v>
      </c>
      <c r="M36" s="3">
        <f>ROUND(L36*0.657,2)</f>
        <v>85972.97</v>
      </c>
      <c r="N36" s="3">
        <f t="shared" si="4"/>
        <v>44883.91</v>
      </c>
      <c r="O36" s="8">
        <f t="shared" si="5"/>
        <v>0.3430000012227099</v>
      </c>
      <c r="P36" s="2" t="s">
        <v>41</v>
      </c>
      <c r="Q36" s="2" t="s">
        <v>26</v>
      </c>
      <c r="R36" s="3">
        <v>138527.29</v>
      </c>
      <c r="S36" s="3">
        <f t="shared" si="6"/>
        <v>130856.88</v>
      </c>
      <c r="T36" s="8">
        <f t="shared" si="7"/>
        <v>0.94462888864713945</v>
      </c>
      <c r="U36" s="10">
        <f t="shared" si="8"/>
        <v>-5.5371111352860533E-2</v>
      </c>
    </row>
    <row r="37" spans="1:21" x14ac:dyDescent="0.3">
      <c r="A37" s="5">
        <v>45429</v>
      </c>
      <c r="B37" s="2" t="str">
        <f t="shared" si="0"/>
        <v>May</v>
      </c>
      <c r="C37" s="2" t="str">
        <f t="shared" si="1"/>
        <v>Q2</v>
      </c>
      <c r="D37" s="2">
        <f t="shared" si="2"/>
        <v>2024</v>
      </c>
      <c r="E37" s="2" t="s">
        <v>27</v>
      </c>
      <c r="F37" s="2" t="s">
        <v>81</v>
      </c>
      <c r="G37" s="2" t="s">
        <v>51</v>
      </c>
      <c r="H37" s="2" t="s">
        <v>39</v>
      </c>
      <c r="I37" s="2" t="s">
        <v>58</v>
      </c>
      <c r="J37" s="2">
        <v>39</v>
      </c>
      <c r="K37" s="3">
        <v>825.67</v>
      </c>
      <c r="L37" s="3">
        <f t="shared" si="3"/>
        <v>32201.129999999997</v>
      </c>
      <c r="M37" s="3">
        <f>ROUND(L37*0.598,2)</f>
        <v>19256.28</v>
      </c>
      <c r="N37" s="3">
        <f t="shared" si="4"/>
        <v>12944.849999999999</v>
      </c>
      <c r="O37" s="8">
        <f t="shared" si="5"/>
        <v>0.40199986770650592</v>
      </c>
      <c r="P37" s="2" t="s">
        <v>25</v>
      </c>
      <c r="Q37" s="2" t="s">
        <v>35</v>
      </c>
      <c r="R37" s="3">
        <v>30683.3</v>
      </c>
      <c r="S37" s="3">
        <f t="shared" si="6"/>
        <v>32201.129999999997</v>
      </c>
      <c r="T37" s="8">
        <f t="shared" si="7"/>
        <v>1.0494676257117064</v>
      </c>
      <c r="U37" s="10">
        <f t="shared" si="8"/>
        <v>4.9467625711706306E-2</v>
      </c>
    </row>
    <row r="38" spans="1:21" x14ac:dyDescent="0.3">
      <c r="A38" s="5">
        <v>45434</v>
      </c>
      <c r="B38" s="2" t="str">
        <f t="shared" si="0"/>
        <v>May</v>
      </c>
      <c r="C38" s="2" t="str">
        <f t="shared" si="1"/>
        <v>Q2</v>
      </c>
      <c r="D38" s="2">
        <f t="shared" si="2"/>
        <v>2024</v>
      </c>
      <c r="E38" s="2" t="s">
        <v>27</v>
      </c>
      <c r="F38" s="2" t="s">
        <v>78</v>
      </c>
      <c r="G38" s="2" t="s">
        <v>68</v>
      </c>
      <c r="H38" s="2" t="s">
        <v>30</v>
      </c>
      <c r="I38" s="2" t="s">
        <v>60</v>
      </c>
      <c r="J38" s="2">
        <v>5</v>
      </c>
      <c r="K38" s="3">
        <v>20465.150000000001</v>
      </c>
      <c r="L38" s="3">
        <f t="shared" si="3"/>
        <v>102325.75</v>
      </c>
      <c r="M38" s="3">
        <f>ROUND(L38*0.653,2)</f>
        <v>66818.710000000006</v>
      </c>
      <c r="N38" s="3">
        <f t="shared" si="4"/>
        <v>35507.039999999994</v>
      </c>
      <c r="O38" s="8">
        <f t="shared" si="5"/>
        <v>0.34700004642037802</v>
      </c>
      <c r="P38" s="2" t="s">
        <v>25</v>
      </c>
      <c r="Q38" s="2" t="s">
        <v>35</v>
      </c>
      <c r="R38" s="3">
        <v>105332.1</v>
      </c>
      <c r="S38" s="3">
        <f t="shared" si="6"/>
        <v>102325.75</v>
      </c>
      <c r="T38" s="8">
        <f t="shared" si="7"/>
        <v>0.97145836834165455</v>
      </c>
      <c r="U38" s="10">
        <f t="shared" si="8"/>
        <v>-2.8541631658345421E-2</v>
      </c>
    </row>
    <row r="39" spans="1:21" x14ac:dyDescent="0.3">
      <c r="A39" s="5">
        <v>45437</v>
      </c>
      <c r="B39" s="2" t="str">
        <f t="shared" si="0"/>
        <v>May</v>
      </c>
      <c r="C39" s="2" t="str">
        <f t="shared" si="1"/>
        <v>Q2</v>
      </c>
      <c r="D39" s="2">
        <f t="shared" si="2"/>
        <v>2024</v>
      </c>
      <c r="E39" s="2" t="s">
        <v>20</v>
      </c>
      <c r="F39" s="2" t="s">
        <v>21</v>
      </c>
      <c r="G39" s="2" t="s">
        <v>48</v>
      </c>
      <c r="H39" s="2" t="s">
        <v>39</v>
      </c>
      <c r="I39" s="2" t="s">
        <v>58</v>
      </c>
      <c r="J39" s="2">
        <v>30</v>
      </c>
      <c r="K39" s="3">
        <v>1064.6199999999999</v>
      </c>
      <c r="L39" s="3">
        <f t="shared" si="3"/>
        <v>31938.6</v>
      </c>
      <c r="M39" s="3">
        <f>ROUND(L39*0.628,2)</f>
        <v>20057.439999999999</v>
      </c>
      <c r="N39" s="3">
        <f t="shared" si="4"/>
        <v>11881.16</v>
      </c>
      <c r="O39" s="8">
        <f t="shared" si="5"/>
        <v>0.37200002504806096</v>
      </c>
      <c r="P39" s="2" t="s">
        <v>25</v>
      </c>
      <c r="Q39" s="2" t="s">
        <v>26</v>
      </c>
      <c r="R39" s="3">
        <v>30693.5</v>
      </c>
      <c r="S39" s="3">
        <f t="shared" si="6"/>
        <v>31938.6</v>
      </c>
      <c r="T39" s="8">
        <f t="shared" si="7"/>
        <v>1.0405655920634662</v>
      </c>
      <c r="U39" s="10">
        <f t="shared" si="8"/>
        <v>4.056559206346616E-2</v>
      </c>
    </row>
    <row r="40" spans="1:21" x14ac:dyDescent="0.3">
      <c r="A40" s="5">
        <v>45440</v>
      </c>
      <c r="B40" s="2" t="str">
        <f t="shared" si="0"/>
        <v>May</v>
      </c>
      <c r="C40" s="2" t="str">
        <f t="shared" si="1"/>
        <v>Q2</v>
      </c>
      <c r="D40" s="2">
        <f t="shared" si="2"/>
        <v>2024</v>
      </c>
      <c r="E40" s="2" t="s">
        <v>42</v>
      </c>
      <c r="F40" s="2" t="s">
        <v>47</v>
      </c>
      <c r="G40" s="2" t="s">
        <v>34</v>
      </c>
      <c r="H40" s="2" t="s">
        <v>23</v>
      </c>
      <c r="I40" s="2" t="s">
        <v>24</v>
      </c>
      <c r="J40" s="2">
        <v>23</v>
      </c>
      <c r="K40" s="3">
        <v>10078.69</v>
      </c>
      <c r="L40" s="3">
        <f t="shared" si="3"/>
        <v>231809.87000000002</v>
      </c>
      <c r="M40" s="3">
        <f>ROUND(L40*0.732,2)</f>
        <v>169684.82</v>
      </c>
      <c r="N40" s="3">
        <f t="shared" si="4"/>
        <v>62125.050000000017</v>
      </c>
      <c r="O40" s="8">
        <f t="shared" si="5"/>
        <v>0.26800002087918007</v>
      </c>
      <c r="P40" s="2" t="s">
        <v>25</v>
      </c>
      <c r="Q40" s="2" t="s">
        <v>26</v>
      </c>
      <c r="R40" s="3">
        <v>213584.86</v>
      </c>
      <c r="S40" s="3">
        <f t="shared" si="6"/>
        <v>231809.87000000002</v>
      </c>
      <c r="T40" s="8">
        <f t="shared" si="7"/>
        <v>1.085329128665768</v>
      </c>
      <c r="U40" s="10">
        <f t="shared" si="8"/>
        <v>8.5329128665767973E-2</v>
      </c>
    </row>
    <row r="41" spans="1:21" x14ac:dyDescent="0.3">
      <c r="A41" s="5">
        <v>45446</v>
      </c>
      <c r="B41" s="2" t="str">
        <f t="shared" si="0"/>
        <v>Jun</v>
      </c>
      <c r="C41" s="2" t="str">
        <f t="shared" si="1"/>
        <v>Q2</v>
      </c>
      <c r="D41" s="2">
        <f t="shared" si="2"/>
        <v>2024</v>
      </c>
      <c r="E41" s="2" t="s">
        <v>36</v>
      </c>
      <c r="F41" s="2" t="s">
        <v>67</v>
      </c>
      <c r="G41" s="2" t="s">
        <v>55</v>
      </c>
      <c r="H41" s="2" t="s">
        <v>52</v>
      </c>
      <c r="I41" s="2" t="s">
        <v>82</v>
      </c>
      <c r="J41" s="2">
        <v>38</v>
      </c>
      <c r="K41" s="3">
        <v>986.15</v>
      </c>
      <c r="L41" s="3">
        <f t="shared" si="3"/>
        <v>37473.699999999997</v>
      </c>
      <c r="M41" s="3">
        <f>ROUND(L41*0.563,2)</f>
        <v>21097.69</v>
      </c>
      <c r="N41" s="3">
        <f t="shared" si="4"/>
        <v>16376.009999999998</v>
      </c>
      <c r="O41" s="8">
        <f t="shared" si="5"/>
        <v>0.43700008272468421</v>
      </c>
      <c r="P41" s="2" t="s">
        <v>25</v>
      </c>
      <c r="Q41" s="2" t="s">
        <v>35</v>
      </c>
      <c r="R41" s="3">
        <v>37556.18</v>
      </c>
      <c r="S41" s="3">
        <f t="shared" si="6"/>
        <v>37473.699999999997</v>
      </c>
      <c r="T41" s="8">
        <f t="shared" si="7"/>
        <v>0.9978038234985559</v>
      </c>
      <c r="U41" s="10">
        <f t="shared" si="8"/>
        <v>-2.1961765014440553E-3</v>
      </c>
    </row>
    <row r="42" spans="1:21" x14ac:dyDescent="0.3">
      <c r="A42" s="5">
        <v>45448</v>
      </c>
      <c r="B42" s="2" t="str">
        <f t="shared" si="0"/>
        <v>Jun</v>
      </c>
      <c r="C42" s="2" t="str">
        <f t="shared" si="1"/>
        <v>Q2</v>
      </c>
      <c r="D42" s="2">
        <f t="shared" si="2"/>
        <v>2024</v>
      </c>
      <c r="E42" s="2" t="s">
        <v>36</v>
      </c>
      <c r="F42" s="2" t="s">
        <v>67</v>
      </c>
      <c r="G42" s="2" t="s">
        <v>51</v>
      </c>
      <c r="H42" s="2" t="s">
        <v>23</v>
      </c>
      <c r="I42" s="2" t="s">
        <v>24</v>
      </c>
      <c r="J42" s="2">
        <v>24</v>
      </c>
      <c r="K42" s="3">
        <v>27332.9</v>
      </c>
      <c r="L42" s="3">
        <f t="shared" si="3"/>
        <v>655989.60000000009</v>
      </c>
      <c r="M42" s="3">
        <f>ROUND(L42*0.737,2)</f>
        <v>483464.34</v>
      </c>
      <c r="N42" s="3">
        <f t="shared" si="4"/>
        <v>172525.26000000007</v>
      </c>
      <c r="O42" s="8">
        <f t="shared" si="5"/>
        <v>0.26299999268281088</v>
      </c>
      <c r="P42" s="2" t="s">
        <v>25</v>
      </c>
      <c r="Q42" s="2" t="s">
        <v>26</v>
      </c>
      <c r="R42" s="3">
        <v>667083.18000000005</v>
      </c>
      <c r="S42" s="3">
        <f t="shared" si="6"/>
        <v>655989.60000000009</v>
      </c>
      <c r="T42" s="8">
        <f t="shared" si="7"/>
        <v>0.98337001991265927</v>
      </c>
      <c r="U42" s="10">
        <f t="shared" si="8"/>
        <v>-1.6629980087340769E-2</v>
      </c>
    </row>
    <row r="43" spans="1:21" x14ac:dyDescent="0.3">
      <c r="A43" s="5">
        <v>45452</v>
      </c>
      <c r="B43" s="2" t="str">
        <f t="shared" si="0"/>
        <v>Jun</v>
      </c>
      <c r="C43" s="2" t="str">
        <f t="shared" si="1"/>
        <v>Q2</v>
      </c>
      <c r="D43" s="2">
        <f t="shared" si="2"/>
        <v>2024</v>
      </c>
      <c r="E43" s="2" t="s">
        <v>20</v>
      </c>
      <c r="F43" s="2" t="s">
        <v>65</v>
      </c>
      <c r="G43" s="2" t="s">
        <v>55</v>
      </c>
      <c r="H43" s="2" t="s">
        <v>39</v>
      </c>
      <c r="I43" s="2" t="s">
        <v>56</v>
      </c>
      <c r="J43" s="2">
        <v>15</v>
      </c>
      <c r="K43" s="3">
        <v>869.19</v>
      </c>
      <c r="L43" s="3">
        <f t="shared" si="3"/>
        <v>13037.85</v>
      </c>
      <c r="M43" s="3">
        <f>ROUND(L43*0.616,2)</f>
        <v>8031.32</v>
      </c>
      <c r="N43" s="3">
        <f t="shared" si="4"/>
        <v>5006.5300000000007</v>
      </c>
      <c r="O43" s="8">
        <f t="shared" si="5"/>
        <v>0.38399966252104456</v>
      </c>
      <c r="P43" s="2" t="s">
        <v>25</v>
      </c>
      <c r="Q43" s="2" t="s">
        <v>26</v>
      </c>
      <c r="R43" s="3">
        <v>12187.98</v>
      </c>
      <c r="S43" s="3">
        <f t="shared" si="6"/>
        <v>13037.85</v>
      </c>
      <c r="T43" s="8">
        <f t="shared" si="7"/>
        <v>1.0697301767807299</v>
      </c>
      <c r="U43" s="10">
        <f t="shared" si="8"/>
        <v>6.973017678072993E-2</v>
      </c>
    </row>
    <row r="44" spans="1:21" x14ac:dyDescent="0.3">
      <c r="A44" s="5">
        <v>45455</v>
      </c>
      <c r="B44" s="2" t="str">
        <f t="shared" si="0"/>
        <v>Jun</v>
      </c>
      <c r="C44" s="2" t="str">
        <f t="shared" si="1"/>
        <v>Q2</v>
      </c>
      <c r="D44" s="2">
        <f t="shared" si="2"/>
        <v>2024</v>
      </c>
      <c r="E44" s="2" t="s">
        <v>20</v>
      </c>
      <c r="F44" s="2" t="s">
        <v>65</v>
      </c>
      <c r="G44" s="2" t="s">
        <v>38</v>
      </c>
      <c r="H44" s="2" t="s">
        <v>52</v>
      </c>
      <c r="I44" s="2" t="s">
        <v>61</v>
      </c>
      <c r="J44" s="2">
        <v>30</v>
      </c>
      <c r="K44" s="3">
        <v>359.55</v>
      </c>
      <c r="L44" s="3">
        <f t="shared" si="3"/>
        <v>10786.5</v>
      </c>
      <c r="M44" s="3">
        <f>ROUND(L44*0.63,2)</f>
        <v>6795.5</v>
      </c>
      <c r="N44" s="3">
        <f t="shared" si="4"/>
        <v>3991</v>
      </c>
      <c r="O44" s="8">
        <f t="shared" si="5"/>
        <v>0.36999953645760902</v>
      </c>
      <c r="P44" s="2" t="s">
        <v>41</v>
      </c>
      <c r="Q44" s="2" t="s">
        <v>26</v>
      </c>
      <c r="R44" s="3">
        <v>11823.74</v>
      </c>
      <c r="S44" s="3">
        <f t="shared" si="6"/>
        <v>10786.5</v>
      </c>
      <c r="T44" s="8">
        <f t="shared" si="7"/>
        <v>0.91227479629964803</v>
      </c>
      <c r="U44" s="10">
        <f t="shared" si="8"/>
        <v>-8.7725203700351986E-2</v>
      </c>
    </row>
    <row r="45" spans="1:21" x14ac:dyDescent="0.3">
      <c r="A45" s="5">
        <v>45455</v>
      </c>
      <c r="B45" s="2" t="str">
        <f t="shared" si="0"/>
        <v>Jun</v>
      </c>
      <c r="C45" s="2" t="str">
        <f t="shared" si="1"/>
        <v>Q2</v>
      </c>
      <c r="D45" s="2">
        <f t="shared" si="2"/>
        <v>2024</v>
      </c>
      <c r="E45" s="2" t="s">
        <v>36</v>
      </c>
      <c r="F45" s="2" t="s">
        <v>76</v>
      </c>
      <c r="G45" s="2" t="s">
        <v>55</v>
      </c>
      <c r="H45" s="2" t="s">
        <v>45</v>
      </c>
      <c r="I45" s="2" t="s">
        <v>75</v>
      </c>
      <c r="J45" s="2">
        <v>26</v>
      </c>
      <c r="K45" s="3">
        <v>470.87</v>
      </c>
      <c r="L45" s="3">
        <f t="shared" si="3"/>
        <v>12242.62</v>
      </c>
      <c r="M45" s="3">
        <f>ROUND(L45*0.666,2)</f>
        <v>8153.58</v>
      </c>
      <c r="N45" s="3">
        <f t="shared" si="4"/>
        <v>4089.0400000000009</v>
      </c>
      <c r="O45" s="8">
        <f t="shared" si="5"/>
        <v>0.33400040187476215</v>
      </c>
      <c r="P45" s="2" t="s">
        <v>41</v>
      </c>
      <c r="Q45" s="2" t="s">
        <v>35</v>
      </c>
      <c r="R45" s="3">
        <v>13956.66</v>
      </c>
      <c r="S45" s="3">
        <f t="shared" si="6"/>
        <v>12242.62</v>
      </c>
      <c r="T45" s="8">
        <f t="shared" si="7"/>
        <v>0.87718838174749558</v>
      </c>
      <c r="U45" s="10">
        <f t="shared" si="8"/>
        <v>-0.12281161825250447</v>
      </c>
    </row>
    <row r="46" spans="1:21" x14ac:dyDescent="0.3">
      <c r="A46" s="5">
        <v>45462</v>
      </c>
      <c r="B46" s="2" t="str">
        <f t="shared" si="0"/>
        <v>Jun</v>
      </c>
      <c r="C46" s="2" t="str">
        <f t="shared" si="1"/>
        <v>Q2</v>
      </c>
      <c r="D46" s="2">
        <f t="shared" si="2"/>
        <v>2024</v>
      </c>
      <c r="E46" s="2" t="s">
        <v>27</v>
      </c>
      <c r="F46" s="2" t="s">
        <v>81</v>
      </c>
      <c r="G46" s="2" t="s">
        <v>38</v>
      </c>
      <c r="H46" s="2" t="s">
        <v>45</v>
      </c>
      <c r="I46" s="2" t="s">
        <v>46</v>
      </c>
      <c r="J46" s="2">
        <v>24</v>
      </c>
      <c r="K46" s="3">
        <v>1308.73</v>
      </c>
      <c r="L46" s="3">
        <f t="shared" si="3"/>
        <v>31409.52</v>
      </c>
      <c r="M46" s="3">
        <f>ROUND(L46*0.649,2)</f>
        <v>20384.78</v>
      </c>
      <c r="N46" s="3">
        <f t="shared" si="4"/>
        <v>11024.740000000002</v>
      </c>
      <c r="O46" s="8">
        <f t="shared" si="5"/>
        <v>0.35099995160702874</v>
      </c>
      <c r="P46" s="2" t="s">
        <v>25</v>
      </c>
      <c r="Q46" s="2" t="s">
        <v>26</v>
      </c>
      <c r="R46" s="3">
        <v>28999.13</v>
      </c>
      <c r="S46" s="3">
        <f t="shared" si="6"/>
        <v>31409.52</v>
      </c>
      <c r="T46" s="8">
        <f t="shared" si="7"/>
        <v>1.0831193901334282</v>
      </c>
      <c r="U46" s="10">
        <f t="shared" si="8"/>
        <v>8.3119390133428117E-2</v>
      </c>
    </row>
    <row r="47" spans="1:21" x14ac:dyDescent="0.3">
      <c r="A47" s="5">
        <v>45464</v>
      </c>
      <c r="B47" s="2" t="str">
        <f t="shared" si="0"/>
        <v>Jun</v>
      </c>
      <c r="C47" s="2" t="str">
        <f t="shared" si="1"/>
        <v>Q2</v>
      </c>
      <c r="D47" s="2">
        <f t="shared" si="2"/>
        <v>2024</v>
      </c>
      <c r="E47" s="2" t="s">
        <v>27</v>
      </c>
      <c r="F47" s="2" t="s">
        <v>78</v>
      </c>
      <c r="G47" s="2" t="s">
        <v>34</v>
      </c>
      <c r="H47" s="2" t="s">
        <v>39</v>
      </c>
      <c r="I47" s="2" t="s">
        <v>56</v>
      </c>
      <c r="J47" s="2">
        <v>35</v>
      </c>
      <c r="K47" s="3">
        <v>622.49</v>
      </c>
      <c r="L47" s="3">
        <f t="shared" si="3"/>
        <v>21787.15</v>
      </c>
      <c r="M47" s="3">
        <f>ROUND(L47*0.778,2)</f>
        <v>16950.400000000001</v>
      </c>
      <c r="N47" s="3">
        <f t="shared" si="4"/>
        <v>4836.75</v>
      </c>
      <c r="O47" s="8">
        <f t="shared" si="5"/>
        <v>0.22200012392625926</v>
      </c>
      <c r="P47" s="2" t="s">
        <v>41</v>
      </c>
      <c r="Q47" s="2" t="s">
        <v>26</v>
      </c>
      <c r="R47" s="3">
        <v>24775.72</v>
      </c>
      <c r="S47" s="3">
        <f t="shared" si="6"/>
        <v>21787.15</v>
      </c>
      <c r="T47" s="8">
        <f t="shared" si="7"/>
        <v>0.87937504944356815</v>
      </c>
      <c r="U47" s="10">
        <f t="shared" si="8"/>
        <v>-0.12062495055643184</v>
      </c>
    </row>
    <row r="48" spans="1:21" x14ac:dyDescent="0.3">
      <c r="A48" s="5">
        <v>45466</v>
      </c>
      <c r="B48" s="2" t="str">
        <f t="shared" si="0"/>
        <v>Jun</v>
      </c>
      <c r="C48" s="2" t="str">
        <f t="shared" si="1"/>
        <v>Q2</v>
      </c>
      <c r="D48" s="2">
        <f t="shared" si="2"/>
        <v>2024</v>
      </c>
      <c r="E48" s="2" t="s">
        <v>42</v>
      </c>
      <c r="F48" s="2" t="s">
        <v>83</v>
      </c>
      <c r="G48" s="2" t="s">
        <v>29</v>
      </c>
      <c r="H48" s="2" t="s">
        <v>52</v>
      </c>
      <c r="I48" s="2" t="s">
        <v>84</v>
      </c>
      <c r="J48" s="2">
        <v>32</v>
      </c>
      <c r="K48" s="3">
        <v>867.29</v>
      </c>
      <c r="L48" s="3">
        <f t="shared" si="3"/>
        <v>27753.279999999999</v>
      </c>
      <c r="M48" s="3">
        <f>ROUND(L48*0.76,2)</f>
        <v>21092.49</v>
      </c>
      <c r="N48" s="3">
        <f t="shared" si="4"/>
        <v>6660.7899999999972</v>
      </c>
      <c r="O48" s="8">
        <f t="shared" si="5"/>
        <v>0.24000010088897591</v>
      </c>
      <c r="P48" s="2" t="s">
        <v>25</v>
      </c>
      <c r="Q48" s="2" t="s">
        <v>35</v>
      </c>
      <c r="R48" s="3">
        <v>24781.88</v>
      </c>
      <c r="S48" s="3">
        <f t="shared" si="6"/>
        <v>27753.279999999999</v>
      </c>
      <c r="T48" s="8">
        <f t="shared" si="7"/>
        <v>1.119902122034325</v>
      </c>
      <c r="U48" s="10">
        <f t="shared" si="8"/>
        <v>0.11990212203432499</v>
      </c>
    </row>
    <row r="49" spans="1:21" x14ac:dyDescent="0.3">
      <c r="A49" s="5">
        <v>45468</v>
      </c>
      <c r="B49" s="2" t="str">
        <f t="shared" si="0"/>
        <v>Jun</v>
      </c>
      <c r="C49" s="2" t="str">
        <f t="shared" si="1"/>
        <v>Q2</v>
      </c>
      <c r="D49" s="2">
        <f t="shared" si="2"/>
        <v>2024</v>
      </c>
      <c r="E49" s="2" t="s">
        <v>36</v>
      </c>
      <c r="F49" s="2" t="s">
        <v>67</v>
      </c>
      <c r="G49" s="2" t="s">
        <v>85</v>
      </c>
      <c r="H49" s="2" t="s">
        <v>45</v>
      </c>
      <c r="I49" s="2" t="s">
        <v>49</v>
      </c>
      <c r="J49" s="2">
        <v>36</v>
      </c>
      <c r="K49" s="3">
        <v>2599.29</v>
      </c>
      <c r="L49" s="3">
        <f t="shared" si="3"/>
        <v>93574.44</v>
      </c>
      <c r="M49" s="3">
        <f>ROUND(L49*0.675,2)</f>
        <v>63162.75</v>
      </c>
      <c r="N49" s="3">
        <f t="shared" si="4"/>
        <v>30411.690000000002</v>
      </c>
      <c r="O49" s="8">
        <f t="shared" si="5"/>
        <v>0.32499996793996311</v>
      </c>
      <c r="P49" s="2" t="s">
        <v>41</v>
      </c>
      <c r="Q49" s="2" t="s">
        <v>26</v>
      </c>
      <c r="R49" s="3">
        <v>104560.03</v>
      </c>
      <c r="S49" s="3">
        <f t="shared" si="6"/>
        <v>93574.44</v>
      </c>
      <c r="T49" s="8">
        <f t="shared" si="7"/>
        <v>0.89493509135374194</v>
      </c>
      <c r="U49" s="10">
        <f t="shared" si="8"/>
        <v>-0.105064908646258</v>
      </c>
    </row>
    <row r="50" spans="1:21" x14ac:dyDescent="0.3">
      <c r="A50" s="5">
        <v>45470</v>
      </c>
      <c r="B50" s="2" t="str">
        <f t="shared" si="0"/>
        <v>Jun</v>
      </c>
      <c r="C50" s="2" t="str">
        <f t="shared" si="1"/>
        <v>Q2</v>
      </c>
      <c r="D50" s="2">
        <f t="shared" si="2"/>
        <v>2024</v>
      </c>
      <c r="E50" s="2" t="s">
        <v>27</v>
      </c>
      <c r="F50" s="2" t="s">
        <v>81</v>
      </c>
      <c r="G50" s="2" t="s">
        <v>34</v>
      </c>
      <c r="H50" s="2" t="s">
        <v>52</v>
      </c>
      <c r="I50" s="2" t="s">
        <v>84</v>
      </c>
      <c r="J50" s="2">
        <v>5</v>
      </c>
      <c r="K50" s="3">
        <v>269.33</v>
      </c>
      <c r="L50" s="3">
        <f t="shared" si="3"/>
        <v>1346.6499999999999</v>
      </c>
      <c r="M50" s="3">
        <f>ROUND(L50*0.66,2)</f>
        <v>888.79</v>
      </c>
      <c r="N50" s="3">
        <f t="shared" si="4"/>
        <v>457.8599999999999</v>
      </c>
      <c r="O50" s="8">
        <f t="shared" si="5"/>
        <v>0.33999925741655213</v>
      </c>
      <c r="P50" s="2" t="s">
        <v>41</v>
      </c>
      <c r="Q50" s="2" t="s">
        <v>35</v>
      </c>
      <c r="R50" s="3">
        <v>1458.97</v>
      </c>
      <c r="S50" s="3">
        <f t="shared" si="6"/>
        <v>1346.6499999999999</v>
      </c>
      <c r="T50" s="8">
        <f t="shared" si="7"/>
        <v>0.92301418123744827</v>
      </c>
      <c r="U50" s="10">
        <f t="shared" si="8"/>
        <v>-7.6985818762551769E-2</v>
      </c>
    </row>
    <row r="51" spans="1:21" x14ac:dyDescent="0.3">
      <c r="A51" s="5">
        <v>45471</v>
      </c>
      <c r="B51" s="2" t="str">
        <f t="shared" si="0"/>
        <v>Jun</v>
      </c>
      <c r="C51" s="2" t="str">
        <f t="shared" si="1"/>
        <v>Q2</v>
      </c>
      <c r="D51" s="2">
        <f t="shared" si="2"/>
        <v>2024</v>
      </c>
      <c r="E51" s="2" t="s">
        <v>36</v>
      </c>
      <c r="F51" s="2" t="s">
        <v>79</v>
      </c>
      <c r="G51" s="2" t="s">
        <v>38</v>
      </c>
      <c r="H51" s="2" t="s">
        <v>52</v>
      </c>
      <c r="I51" s="2" t="s">
        <v>71</v>
      </c>
      <c r="J51" s="2">
        <v>19</v>
      </c>
      <c r="K51" s="3">
        <v>345.63</v>
      </c>
      <c r="L51" s="3">
        <f t="shared" si="3"/>
        <v>6566.97</v>
      </c>
      <c r="M51" s="3">
        <f>ROUND(L51*0.752,2)</f>
        <v>4938.3599999999997</v>
      </c>
      <c r="N51" s="3">
        <f t="shared" si="4"/>
        <v>1628.6100000000006</v>
      </c>
      <c r="O51" s="8">
        <f t="shared" si="5"/>
        <v>0.24800021927921104</v>
      </c>
      <c r="P51" s="2" t="s">
        <v>41</v>
      </c>
      <c r="Q51" s="2" t="s">
        <v>35</v>
      </c>
      <c r="R51" s="3">
        <v>5600.18</v>
      </c>
      <c r="S51" s="3">
        <f t="shared" si="6"/>
        <v>6566.97</v>
      </c>
      <c r="T51" s="8">
        <f t="shared" si="7"/>
        <v>1.1726355224296361</v>
      </c>
      <c r="U51" s="10">
        <f t="shared" si="8"/>
        <v>0.17263552242963617</v>
      </c>
    </row>
    <row r="52" spans="1:21" x14ac:dyDescent="0.3">
      <c r="A52" s="5">
        <v>45472</v>
      </c>
      <c r="B52" s="2" t="str">
        <f t="shared" si="0"/>
        <v>Jun</v>
      </c>
      <c r="C52" s="2" t="str">
        <f t="shared" si="1"/>
        <v>Q2</v>
      </c>
      <c r="D52" s="2">
        <f t="shared" si="2"/>
        <v>2024</v>
      </c>
      <c r="E52" s="2" t="s">
        <v>32</v>
      </c>
      <c r="F52" s="2" t="s">
        <v>70</v>
      </c>
      <c r="G52" s="2" t="s">
        <v>29</v>
      </c>
      <c r="H52" s="2" t="s">
        <v>39</v>
      </c>
      <c r="I52" s="2" t="s">
        <v>56</v>
      </c>
      <c r="J52" s="2">
        <v>38</v>
      </c>
      <c r="K52" s="3">
        <v>1268.67</v>
      </c>
      <c r="L52" s="3">
        <f t="shared" si="3"/>
        <v>48209.460000000006</v>
      </c>
      <c r="M52" s="3">
        <f>ROUND(L52*0.612,2)</f>
        <v>29504.19</v>
      </c>
      <c r="N52" s="3">
        <f t="shared" si="4"/>
        <v>18705.270000000008</v>
      </c>
      <c r="O52" s="8">
        <f t="shared" si="5"/>
        <v>0.38799999004344804</v>
      </c>
      <c r="P52" s="2" t="s">
        <v>41</v>
      </c>
      <c r="Q52" s="2" t="s">
        <v>35</v>
      </c>
      <c r="R52" s="3">
        <v>53296.23</v>
      </c>
      <c r="S52" s="3">
        <f t="shared" si="6"/>
        <v>48209.460000000006</v>
      </c>
      <c r="T52" s="8">
        <f t="shared" si="7"/>
        <v>0.90455666376402244</v>
      </c>
      <c r="U52" s="10">
        <f t="shared" si="8"/>
        <v>-9.5443336235977602E-2</v>
      </c>
    </row>
    <row r="53" spans="1:21" x14ac:dyDescent="0.3">
      <c r="A53" s="5">
        <v>45473</v>
      </c>
      <c r="B53" s="2" t="str">
        <f t="shared" si="0"/>
        <v>Jun</v>
      </c>
      <c r="C53" s="2" t="str">
        <f t="shared" si="1"/>
        <v>Q2</v>
      </c>
      <c r="D53" s="2">
        <f t="shared" si="2"/>
        <v>2024</v>
      </c>
      <c r="E53" s="2" t="s">
        <v>36</v>
      </c>
      <c r="F53" s="2" t="s">
        <v>76</v>
      </c>
      <c r="G53" s="2" t="s">
        <v>29</v>
      </c>
      <c r="H53" s="2" t="s">
        <v>39</v>
      </c>
      <c r="I53" s="2" t="s">
        <v>56</v>
      </c>
      <c r="J53" s="2">
        <v>37</v>
      </c>
      <c r="K53" s="3">
        <v>1766.29</v>
      </c>
      <c r="L53" s="3">
        <f t="shared" si="3"/>
        <v>65352.729999999996</v>
      </c>
      <c r="M53" s="3">
        <f>ROUND(L53*0.698,2)</f>
        <v>45616.21</v>
      </c>
      <c r="N53" s="3">
        <f t="shared" si="4"/>
        <v>19736.519999999997</v>
      </c>
      <c r="O53" s="8">
        <f t="shared" si="5"/>
        <v>0.30199993175495499</v>
      </c>
      <c r="P53" s="2" t="s">
        <v>25</v>
      </c>
      <c r="Q53" s="2" t="s">
        <v>35</v>
      </c>
      <c r="R53" s="3">
        <v>74891.59</v>
      </c>
      <c r="S53" s="3">
        <f t="shared" si="6"/>
        <v>65352.729999999996</v>
      </c>
      <c r="T53" s="8">
        <f t="shared" si="7"/>
        <v>0.87263109248982429</v>
      </c>
      <c r="U53" s="10">
        <f t="shared" si="8"/>
        <v>-0.12736890751017571</v>
      </c>
    </row>
    <row r="54" spans="1:21" x14ac:dyDescent="0.3">
      <c r="A54" s="5">
        <v>45475</v>
      </c>
      <c r="B54" s="2" t="str">
        <f t="shared" si="0"/>
        <v>Jul</v>
      </c>
      <c r="C54" s="2" t="str">
        <f t="shared" si="1"/>
        <v>Q3</v>
      </c>
      <c r="D54" s="2">
        <f t="shared" si="2"/>
        <v>2024</v>
      </c>
      <c r="E54" s="2" t="s">
        <v>27</v>
      </c>
      <c r="F54" s="2" t="s">
        <v>81</v>
      </c>
      <c r="G54" s="2" t="s">
        <v>22</v>
      </c>
      <c r="H54" s="2" t="s">
        <v>39</v>
      </c>
      <c r="I54" s="2" t="s">
        <v>58</v>
      </c>
      <c r="J54" s="2">
        <v>26</v>
      </c>
      <c r="K54" s="3">
        <v>1929.94</v>
      </c>
      <c r="L54" s="3">
        <f t="shared" si="3"/>
        <v>50178.44</v>
      </c>
      <c r="M54" s="3">
        <f>ROUND(L54*0.764,2)</f>
        <v>38336.33</v>
      </c>
      <c r="N54" s="3">
        <f t="shared" si="4"/>
        <v>11842.11</v>
      </c>
      <c r="O54" s="8">
        <f t="shared" si="5"/>
        <v>0.23599996333086481</v>
      </c>
      <c r="P54" s="2" t="s">
        <v>41</v>
      </c>
      <c r="Q54" s="2" t="s">
        <v>35</v>
      </c>
      <c r="R54" s="3">
        <v>47156.85</v>
      </c>
      <c r="S54" s="3">
        <f t="shared" si="6"/>
        <v>50178.44</v>
      </c>
      <c r="T54" s="8">
        <f t="shared" si="7"/>
        <v>1.06407531461495</v>
      </c>
      <c r="U54" s="10">
        <f t="shared" si="8"/>
        <v>6.4075314614949974E-2</v>
      </c>
    </row>
    <row r="55" spans="1:21" x14ac:dyDescent="0.3">
      <c r="A55" s="5">
        <v>45482</v>
      </c>
      <c r="B55" s="2" t="str">
        <f t="shared" si="0"/>
        <v>Jul</v>
      </c>
      <c r="C55" s="2" t="str">
        <f t="shared" si="1"/>
        <v>Q3</v>
      </c>
      <c r="D55" s="2">
        <f t="shared" si="2"/>
        <v>2024</v>
      </c>
      <c r="E55" s="2" t="s">
        <v>32</v>
      </c>
      <c r="F55" s="2" t="s">
        <v>33</v>
      </c>
      <c r="G55" s="2" t="s">
        <v>51</v>
      </c>
      <c r="H55" s="2" t="s">
        <v>39</v>
      </c>
      <c r="I55" s="2" t="s">
        <v>86</v>
      </c>
      <c r="J55" s="2">
        <v>5</v>
      </c>
      <c r="K55" s="3">
        <v>2035.32</v>
      </c>
      <c r="L55" s="3">
        <f t="shared" si="3"/>
        <v>10176.6</v>
      </c>
      <c r="M55" s="3">
        <f>ROUND(L55*0.569,2)</f>
        <v>5790.49</v>
      </c>
      <c r="N55" s="3">
        <f t="shared" si="4"/>
        <v>4386.1100000000006</v>
      </c>
      <c r="O55" s="8">
        <f t="shared" si="5"/>
        <v>0.43099954798262685</v>
      </c>
      <c r="P55" s="2" t="s">
        <v>41</v>
      </c>
      <c r="Q55" s="2" t="s">
        <v>35</v>
      </c>
      <c r="R55" s="3">
        <v>9120.94</v>
      </c>
      <c r="S55" s="3">
        <f t="shared" si="6"/>
        <v>10176.6</v>
      </c>
      <c r="T55" s="8">
        <f t="shared" si="7"/>
        <v>1.1157402636131801</v>
      </c>
      <c r="U55" s="10">
        <f t="shared" si="8"/>
        <v>0.1157402636131802</v>
      </c>
    </row>
    <row r="56" spans="1:21" x14ac:dyDescent="0.3">
      <c r="A56" s="5">
        <v>45484</v>
      </c>
      <c r="B56" s="2" t="str">
        <f t="shared" si="0"/>
        <v>Jul</v>
      </c>
      <c r="C56" s="2" t="str">
        <f t="shared" si="1"/>
        <v>Q3</v>
      </c>
      <c r="D56" s="2">
        <f t="shared" si="2"/>
        <v>2024</v>
      </c>
      <c r="E56" s="2" t="s">
        <v>32</v>
      </c>
      <c r="F56" s="2" t="s">
        <v>74</v>
      </c>
      <c r="G56" s="2" t="s">
        <v>55</v>
      </c>
      <c r="H56" s="2" t="s">
        <v>30</v>
      </c>
      <c r="I56" s="2" t="s">
        <v>87</v>
      </c>
      <c r="J56" s="2">
        <v>1</v>
      </c>
      <c r="K56" s="3">
        <v>10018.540000000001</v>
      </c>
      <c r="L56" s="3">
        <f t="shared" si="3"/>
        <v>10018.540000000001</v>
      </c>
      <c r="M56" s="3">
        <f>ROUND(L56*0.599,2)</f>
        <v>6001.11</v>
      </c>
      <c r="N56" s="3">
        <f t="shared" si="4"/>
        <v>4017.4300000000012</v>
      </c>
      <c r="O56" s="8">
        <f t="shared" si="5"/>
        <v>0.40099954684015843</v>
      </c>
      <c r="P56" s="2" t="s">
        <v>41</v>
      </c>
      <c r="Q56" s="2" t="s">
        <v>35</v>
      </c>
      <c r="R56" s="3">
        <v>9086.89</v>
      </c>
      <c r="S56" s="3">
        <f t="shared" si="6"/>
        <v>10018.540000000001</v>
      </c>
      <c r="T56" s="8">
        <f t="shared" si="7"/>
        <v>1.1025268271102655</v>
      </c>
      <c r="U56" s="10">
        <f t="shared" si="8"/>
        <v>0.10252682711026562</v>
      </c>
    </row>
    <row r="57" spans="1:21" x14ac:dyDescent="0.3">
      <c r="A57" s="5">
        <v>45487</v>
      </c>
      <c r="B57" s="2" t="str">
        <f t="shared" si="0"/>
        <v>Jul</v>
      </c>
      <c r="C57" s="2" t="str">
        <f t="shared" si="1"/>
        <v>Q3</v>
      </c>
      <c r="D57" s="2">
        <f t="shared" si="2"/>
        <v>2024</v>
      </c>
      <c r="E57" s="2" t="s">
        <v>20</v>
      </c>
      <c r="F57" s="2" t="s">
        <v>65</v>
      </c>
      <c r="G57" s="2" t="s">
        <v>44</v>
      </c>
      <c r="H57" s="2" t="s">
        <v>52</v>
      </c>
      <c r="I57" s="2" t="s">
        <v>61</v>
      </c>
      <c r="J57" s="2">
        <v>14</v>
      </c>
      <c r="K57" s="3">
        <v>583.61</v>
      </c>
      <c r="L57" s="3">
        <f t="shared" si="3"/>
        <v>8170.54</v>
      </c>
      <c r="M57" s="3">
        <f>ROUND(L57*0.644,2)</f>
        <v>5261.83</v>
      </c>
      <c r="N57" s="3">
        <f t="shared" si="4"/>
        <v>2908.71</v>
      </c>
      <c r="O57" s="8">
        <f t="shared" si="5"/>
        <v>0.35599972584431383</v>
      </c>
      <c r="P57" s="2" t="s">
        <v>25</v>
      </c>
      <c r="Q57" s="2" t="s">
        <v>26</v>
      </c>
      <c r="R57" s="3">
        <v>8844.5400000000009</v>
      </c>
      <c r="S57" s="3">
        <f t="shared" si="6"/>
        <v>8170.54</v>
      </c>
      <c r="T57" s="8">
        <f t="shared" si="7"/>
        <v>0.92379479317183244</v>
      </c>
      <c r="U57" s="10">
        <f t="shared" si="8"/>
        <v>-7.6205206828167532E-2</v>
      </c>
    </row>
    <row r="58" spans="1:21" x14ac:dyDescent="0.3">
      <c r="A58" s="5">
        <v>45488</v>
      </c>
      <c r="B58" s="2" t="str">
        <f t="shared" si="0"/>
        <v>Jul</v>
      </c>
      <c r="C58" s="2" t="str">
        <f t="shared" si="1"/>
        <v>Q3</v>
      </c>
      <c r="D58" s="2">
        <f t="shared" si="2"/>
        <v>2024</v>
      </c>
      <c r="E58" s="2" t="s">
        <v>42</v>
      </c>
      <c r="F58" s="2" t="s">
        <v>63</v>
      </c>
      <c r="G58" s="2" t="s">
        <v>34</v>
      </c>
      <c r="H58" s="2" t="s">
        <v>23</v>
      </c>
      <c r="I58" s="2" t="s">
        <v>88</v>
      </c>
      <c r="J58" s="2">
        <v>7</v>
      </c>
      <c r="K58" s="3">
        <v>51054.63</v>
      </c>
      <c r="L58" s="3">
        <f t="shared" si="3"/>
        <v>357382.41</v>
      </c>
      <c r="M58" s="3">
        <f>ROUND(L58*0.667,2)</f>
        <v>238374.07</v>
      </c>
      <c r="N58" s="3">
        <f t="shared" si="4"/>
        <v>119008.33999999997</v>
      </c>
      <c r="O58" s="8">
        <f t="shared" si="5"/>
        <v>0.33299999292074833</v>
      </c>
      <c r="P58" s="2" t="s">
        <v>41</v>
      </c>
      <c r="Q58" s="2" t="s">
        <v>35</v>
      </c>
      <c r="R58" s="3">
        <v>361646.42</v>
      </c>
      <c r="S58" s="3">
        <f t="shared" si="6"/>
        <v>357382.41</v>
      </c>
      <c r="T58" s="8">
        <f t="shared" si="7"/>
        <v>0.98820945054564624</v>
      </c>
      <c r="U58" s="10">
        <f t="shared" si="8"/>
        <v>-1.1790549454353812E-2</v>
      </c>
    </row>
    <row r="59" spans="1:21" x14ac:dyDescent="0.3">
      <c r="A59" s="5">
        <v>45490</v>
      </c>
      <c r="B59" s="2" t="str">
        <f t="shared" si="0"/>
        <v>Jul</v>
      </c>
      <c r="C59" s="2" t="str">
        <f t="shared" si="1"/>
        <v>Q3</v>
      </c>
      <c r="D59" s="2">
        <f t="shared" si="2"/>
        <v>2024</v>
      </c>
      <c r="E59" s="2" t="s">
        <v>27</v>
      </c>
      <c r="F59" s="2" t="s">
        <v>78</v>
      </c>
      <c r="G59" s="2" t="s">
        <v>44</v>
      </c>
      <c r="H59" s="2" t="s">
        <v>30</v>
      </c>
      <c r="I59" s="2" t="s">
        <v>87</v>
      </c>
      <c r="J59" s="2">
        <v>35</v>
      </c>
      <c r="K59" s="3">
        <v>3804.19</v>
      </c>
      <c r="L59" s="3">
        <f t="shared" si="3"/>
        <v>133146.65</v>
      </c>
      <c r="M59" s="3">
        <f>ROUND(L59*0.579,2)</f>
        <v>77091.91</v>
      </c>
      <c r="N59" s="3">
        <f t="shared" si="4"/>
        <v>56054.739999999991</v>
      </c>
      <c r="O59" s="8">
        <f t="shared" si="5"/>
        <v>0.42100000262868043</v>
      </c>
      <c r="P59" s="2" t="s">
        <v>41</v>
      </c>
      <c r="Q59" s="2" t="s">
        <v>35</v>
      </c>
      <c r="R59" s="3">
        <v>114992.73</v>
      </c>
      <c r="S59" s="3">
        <f t="shared" si="6"/>
        <v>133146.65</v>
      </c>
      <c r="T59" s="8">
        <f t="shared" si="7"/>
        <v>1.1578701540523475</v>
      </c>
      <c r="U59" s="10">
        <f t="shared" si="8"/>
        <v>0.15787015405234747</v>
      </c>
    </row>
    <row r="60" spans="1:21" x14ac:dyDescent="0.3">
      <c r="A60" s="5">
        <v>45495</v>
      </c>
      <c r="B60" s="2" t="str">
        <f t="shared" si="0"/>
        <v>Jul</v>
      </c>
      <c r="C60" s="2" t="str">
        <f t="shared" si="1"/>
        <v>Q3</v>
      </c>
      <c r="D60" s="2">
        <f t="shared" si="2"/>
        <v>2024</v>
      </c>
      <c r="E60" s="2" t="s">
        <v>20</v>
      </c>
      <c r="F60" s="2" t="s">
        <v>72</v>
      </c>
      <c r="G60" s="2" t="s">
        <v>51</v>
      </c>
      <c r="H60" s="2" t="s">
        <v>45</v>
      </c>
      <c r="I60" s="2" t="s">
        <v>89</v>
      </c>
      <c r="J60" s="2">
        <v>37</v>
      </c>
      <c r="K60" s="3">
        <v>2896.94</v>
      </c>
      <c r="L60" s="3">
        <f t="shared" si="3"/>
        <v>107186.78</v>
      </c>
      <c r="M60" s="3">
        <f>ROUND(L60*0.73,2)</f>
        <v>78246.350000000006</v>
      </c>
      <c r="N60" s="3">
        <f t="shared" si="4"/>
        <v>28940.429999999993</v>
      </c>
      <c r="O60" s="8">
        <f t="shared" si="5"/>
        <v>0.26999999440229472</v>
      </c>
      <c r="P60" s="2" t="s">
        <v>25</v>
      </c>
      <c r="Q60" s="2" t="s">
        <v>35</v>
      </c>
      <c r="R60" s="3">
        <v>102273.46</v>
      </c>
      <c r="S60" s="3">
        <f t="shared" si="6"/>
        <v>107186.78</v>
      </c>
      <c r="T60" s="8">
        <f t="shared" si="7"/>
        <v>1.0480410069239858</v>
      </c>
      <c r="U60" s="10">
        <f t="shared" si="8"/>
        <v>4.8041006923985871E-2</v>
      </c>
    </row>
    <row r="61" spans="1:21" x14ac:dyDescent="0.3">
      <c r="A61" s="5">
        <v>45501</v>
      </c>
      <c r="B61" s="2" t="str">
        <f t="shared" si="0"/>
        <v>Jul</v>
      </c>
      <c r="C61" s="2" t="str">
        <f t="shared" si="1"/>
        <v>Q3</v>
      </c>
      <c r="D61" s="2">
        <f t="shared" si="2"/>
        <v>2024</v>
      </c>
      <c r="E61" s="2" t="s">
        <v>27</v>
      </c>
      <c r="F61" s="2" t="s">
        <v>78</v>
      </c>
      <c r="G61" s="2" t="s">
        <v>68</v>
      </c>
      <c r="H61" s="2" t="s">
        <v>52</v>
      </c>
      <c r="I61" s="2" t="s">
        <v>61</v>
      </c>
      <c r="J61" s="2">
        <v>20</v>
      </c>
      <c r="K61" s="3">
        <v>855.27</v>
      </c>
      <c r="L61" s="3">
        <f t="shared" si="3"/>
        <v>17105.400000000001</v>
      </c>
      <c r="M61" s="3">
        <f>ROUND(L61*0.655,2)</f>
        <v>11204.04</v>
      </c>
      <c r="N61" s="3">
        <f t="shared" si="4"/>
        <v>5901.3600000000006</v>
      </c>
      <c r="O61" s="8">
        <f t="shared" si="5"/>
        <v>0.34499982461678769</v>
      </c>
      <c r="P61" s="2" t="s">
        <v>41</v>
      </c>
      <c r="Q61" s="2" t="s">
        <v>26</v>
      </c>
      <c r="R61" s="3">
        <v>19306.96</v>
      </c>
      <c r="S61" s="3">
        <f t="shared" si="6"/>
        <v>17105.400000000001</v>
      </c>
      <c r="T61" s="8">
        <f t="shared" si="7"/>
        <v>0.88597065514198003</v>
      </c>
      <c r="U61" s="10">
        <f t="shared" si="8"/>
        <v>-0.11402934485801999</v>
      </c>
    </row>
    <row r="62" spans="1:21" x14ac:dyDescent="0.3">
      <c r="A62" s="5">
        <v>45512</v>
      </c>
      <c r="B62" s="2" t="str">
        <f t="shared" si="0"/>
        <v>Aug</v>
      </c>
      <c r="C62" s="2" t="str">
        <f t="shared" si="1"/>
        <v>Q3</v>
      </c>
      <c r="D62" s="2">
        <f t="shared" si="2"/>
        <v>2024</v>
      </c>
      <c r="E62" s="2" t="s">
        <v>32</v>
      </c>
      <c r="F62" s="2" t="s">
        <v>73</v>
      </c>
      <c r="G62" s="2" t="s">
        <v>44</v>
      </c>
      <c r="H62" s="2" t="s">
        <v>52</v>
      </c>
      <c r="I62" s="2" t="s">
        <v>53</v>
      </c>
      <c r="J62" s="2">
        <v>44</v>
      </c>
      <c r="K62" s="3">
        <v>447.41</v>
      </c>
      <c r="L62" s="3">
        <f t="shared" si="3"/>
        <v>19686.04</v>
      </c>
      <c r="M62" s="3">
        <f>ROUND(L62*0.686,2)</f>
        <v>13504.62</v>
      </c>
      <c r="N62" s="3">
        <f t="shared" si="4"/>
        <v>6181.42</v>
      </c>
      <c r="O62" s="8">
        <f t="shared" si="5"/>
        <v>0.31400017474311742</v>
      </c>
      <c r="P62" s="2" t="s">
        <v>25</v>
      </c>
      <c r="Q62" s="2" t="s">
        <v>26</v>
      </c>
      <c r="R62" s="3">
        <v>19845.11</v>
      </c>
      <c r="S62" s="3">
        <f t="shared" si="6"/>
        <v>19686.04</v>
      </c>
      <c r="T62" s="8">
        <f t="shared" si="7"/>
        <v>0.99198442336676396</v>
      </c>
      <c r="U62" s="10">
        <f t="shared" si="8"/>
        <v>-8.0155766332360816E-3</v>
      </c>
    </row>
    <row r="63" spans="1:21" x14ac:dyDescent="0.3">
      <c r="A63" s="5">
        <v>45516</v>
      </c>
      <c r="B63" s="2" t="str">
        <f t="shared" si="0"/>
        <v>Aug</v>
      </c>
      <c r="C63" s="2" t="str">
        <f t="shared" si="1"/>
        <v>Q3</v>
      </c>
      <c r="D63" s="2">
        <f t="shared" si="2"/>
        <v>2024</v>
      </c>
      <c r="E63" s="2" t="s">
        <v>42</v>
      </c>
      <c r="F63" s="2" t="s">
        <v>43</v>
      </c>
      <c r="G63" s="2" t="s">
        <v>51</v>
      </c>
      <c r="H63" s="2" t="s">
        <v>23</v>
      </c>
      <c r="I63" s="2" t="s">
        <v>24</v>
      </c>
      <c r="J63" s="2">
        <v>11</v>
      </c>
      <c r="K63" s="3">
        <v>11288.38</v>
      </c>
      <c r="L63" s="3">
        <f t="shared" si="3"/>
        <v>124172.18</v>
      </c>
      <c r="M63" s="3">
        <f>ROUND(L63*0.732,2)</f>
        <v>90894.04</v>
      </c>
      <c r="N63" s="3">
        <f t="shared" si="4"/>
        <v>33278.14</v>
      </c>
      <c r="O63" s="8">
        <f t="shared" si="5"/>
        <v>0.26799996585386521</v>
      </c>
      <c r="P63" s="2" t="s">
        <v>41</v>
      </c>
      <c r="Q63" s="2" t="s">
        <v>35</v>
      </c>
      <c r="R63" s="3">
        <v>121272.51</v>
      </c>
      <c r="S63" s="3">
        <f t="shared" si="6"/>
        <v>124172.18</v>
      </c>
      <c r="T63" s="8">
        <f t="shared" si="7"/>
        <v>1.0239103651767412</v>
      </c>
      <c r="U63" s="10">
        <f t="shared" si="8"/>
        <v>2.3910365176741194E-2</v>
      </c>
    </row>
    <row r="64" spans="1:21" x14ac:dyDescent="0.3">
      <c r="A64" s="5">
        <v>45516</v>
      </c>
      <c r="B64" s="2" t="str">
        <f t="shared" si="0"/>
        <v>Aug</v>
      </c>
      <c r="C64" s="2" t="str">
        <f t="shared" si="1"/>
        <v>Q3</v>
      </c>
      <c r="D64" s="2">
        <f t="shared" si="2"/>
        <v>2024</v>
      </c>
      <c r="E64" s="2" t="s">
        <v>42</v>
      </c>
      <c r="F64" s="2" t="s">
        <v>43</v>
      </c>
      <c r="G64" s="2" t="s">
        <v>38</v>
      </c>
      <c r="H64" s="2" t="s">
        <v>39</v>
      </c>
      <c r="I64" s="2" t="s">
        <v>58</v>
      </c>
      <c r="J64" s="2">
        <v>8</v>
      </c>
      <c r="K64" s="3">
        <v>2310.1</v>
      </c>
      <c r="L64" s="3">
        <f t="shared" si="3"/>
        <v>18480.8</v>
      </c>
      <c r="M64" s="3">
        <f>ROUND(L64*0.655,2)</f>
        <v>12104.92</v>
      </c>
      <c r="N64" s="3">
        <f t="shared" si="4"/>
        <v>6375.8799999999992</v>
      </c>
      <c r="O64" s="8">
        <f t="shared" si="5"/>
        <v>0.34500021644084666</v>
      </c>
      <c r="P64" s="2" t="s">
        <v>25</v>
      </c>
      <c r="Q64" s="2" t="s">
        <v>35</v>
      </c>
      <c r="R64" s="3">
        <v>20151.93</v>
      </c>
      <c r="S64" s="3">
        <f t="shared" si="6"/>
        <v>18480.8</v>
      </c>
      <c r="T64" s="8">
        <f t="shared" si="7"/>
        <v>0.91707345152548658</v>
      </c>
      <c r="U64" s="10">
        <f t="shared" si="8"/>
        <v>-8.2926548474513403E-2</v>
      </c>
    </row>
    <row r="65" spans="1:21" x14ac:dyDescent="0.3">
      <c r="A65" s="5">
        <v>45516</v>
      </c>
      <c r="B65" s="2" t="str">
        <f t="shared" si="0"/>
        <v>Aug</v>
      </c>
      <c r="C65" s="2" t="str">
        <f t="shared" si="1"/>
        <v>Q3</v>
      </c>
      <c r="D65" s="2">
        <f t="shared" si="2"/>
        <v>2024</v>
      </c>
      <c r="E65" s="2" t="s">
        <v>42</v>
      </c>
      <c r="F65" s="2" t="s">
        <v>47</v>
      </c>
      <c r="G65" s="2" t="s">
        <v>85</v>
      </c>
      <c r="H65" s="2" t="s">
        <v>30</v>
      </c>
      <c r="I65" s="2" t="s">
        <v>69</v>
      </c>
      <c r="J65" s="2">
        <v>42</v>
      </c>
      <c r="K65" s="3">
        <v>22923.18</v>
      </c>
      <c r="L65" s="3">
        <f t="shared" si="3"/>
        <v>962773.56</v>
      </c>
      <c r="M65" s="3">
        <f>ROUND(L65*0.559,2)</f>
        <v>538190.42000000004</v>
      </c>
      <c r="N65" s="3">
        <f t="shared" si="4"/>
        <v>424583.14</v>
      </c>
      <c r="O65" s="8">
        <f t="shared" si="5"/>
        <v>0.4410000000415466</v>
      </c>
      <c r="P65" s="2" t="s">
        <v>41</v>
      </c>
      <c r="Q65" s="2" t="s">
        <v>35</v>
      </c>
      <c r="R65" s="3">
        <v>1046133.52</v>
      </c>
      <c r="S65" s="3">
        <f t="shared" si="6"/>
        <v>962773.56</v>
      </c>
      <c r="T65" s="8">
        <f t="shared" si="7"/>
        <v>0.9203161370835341</v>
      </c>
      <c r="U65" s="10">
        <f t="shared" si="8"/>
        <v>-7.9683862916465925E-2</v>
      </c>
    </row>
    <row r="66" spans="1:21" x14ac:dyDescent="0.3">
      <c r="A66" s="5">
        <v>45517</v>
      </c>
      <c r="B66" s="2" t="str">
        <f t="shared" ref="B66:B129" si="9">TEXT(A66,"mmm")</f>
        <v>Aug</v>
      </c>
      <c r="C66" s="2" t="str">
        <f t="shared" ref="C66:C129" si="10">"Q"&amp;ROUNDUP(MONTH(A66)/3,0)</f>
        <v>Q3</v>
      </c>
      <c r="D66" s="2">
        <f t="shared" ref="D66:D129" si="11">YEAR(A66)</f>
        <v>2024</v>
      </c>
      <c r="E66" s="2" t="s">
        <v>36</v>
      </c>
      <c r="F66" s="2" t="s">
        <v>67</v>
      </c>
      <c r="G66" s="2" t="s">
        <v>38</v>
      </c>
      <c r="H66" s="2" t="s">
        <v>30</v>
      </c>
      <c r="I66" s="2" t="s">
        <v>87</v>
      </c>
      <c r="J66" s="2">
        <v>9</v>
      </c>
      <c r="K66" s="3">
        <v>23824.47</v>
      </c>
      <c r="L66" s="3">
        <f t="shared" ref="L66:L129" si="12">J66*K66</f>
        <v>214420.23</v>
      </c>
      <c r="M66" s="3">
        <f>ROUND(L66*0.726,2)</f>
        <v>155669.09</v>
      </c>
      <c r="N66" s="3">
        <f t="shared" ref="N66:N129" si="13">L66-M66</f>
        <v>58751.140000000014</v>
      </c>
      <c r="O66" s="8">
        <f t="shared" ref="O66:O129" si="14">IFERROR(N66/L66,0)</f>
        <v>0.27399998591550812</v>
      </c>
      <c r="P66" s="2" t="s">
        <v>41</v>
      </c>
      <c r="Q66" s="2" t="s">
        <v>26</v>
      </c>
      <c r="R66" s="3">
        <v>200876.19</v>
      </c>
      <c r="S66" s="3">
        <f t="shared" ref="S66:S129" si="15">L66</f>
        <v>214420.23</v>
      </c>
      <c r="T66" s="8">
        <f t="shared" ref="T66:T129" si="16">IFERROR(S66/R66,0)</f>
        <v>1.0674248152556061</v>
      </c>
      <c r="U66" s="10">
        <f t="shared" ref="U66:U129" si="17">IFERROR((S66-R66)/R66,0)</f>
        <v>6.7424815255605994E-2</v>
      </c>
    </row>
    <row r="67" spans="1:21" x14ac:dyDescent="0.3">
      <c r="A67" s="5">
        <v>45520</v>
      </c>
      <c r="B67" s="2" t="str">
        <f t="shared" si="9"/>
        <v>Aug</v>
      </c>
      <c r="C67" s="2" t="str">
        <f t="shared" si="10"/>
        <v>Q3</v>
      </c>
      <c r="D67" s="2">
        <f t="shared" si="11"/>
        <v>2024</v>
      </c>
      <c r="E67" s="2" t="s">
        <v>20</v>
      </c>
      <c r="F67" s="2" t="s">
        <v>21</v>
      </c>
      <c r="G67" s="2" t="s">
        <v>68</v>
      </c>
      <c r="H67" s="2" t="s">
        <v>52</v>
      </c>
      <c r="I67" s="2" t="s">
        <v>84</v>
      </c>
      <c r="J67" s="2">
        <v>25</v>
      </c>
      <c r="K67" s="3">
        <v>595.33000000000004</v>
      </c>
      <c r="L67" s="3">
        <f t="shared" si="12"/>
        <v>14883.250000000002</v>
      </c>
      <c r="M67" s="3">
        <f>ROUND(L67*0.739,2)</f>
        <v>10998.72</v>
      </c>
      <c r="N67" s="3">
        <f t="shared" si="13"/>
        <v>3884.5300000000025</v>
      </c>
      <c r="O67" s="8">
        <f t="shared" si="14"/>
        <v>0.26100011758184549</v>
      </c>
      <c r="P67" s="2" t="s">
        <v>25</v>
      </c>
      <c r="Q67" s="2" t="s">
        <v>26</v>
      </c>
      <c r="R67" s="3">
        <v>13755.9</v>
      </c>
      <c r="S67" s="3">
        <f t="shared" si="15"/>
        <v>14883.250000000002</v>
      </c>
      <c r="T67" s="8">
        <f t="shared" si="16"/>
        <v>1.0819539252248127</v>
      </c>
      <c r="U67" s="10">
        <f t="shared" si="17"/>
        <v>8.195392522481279E-2</v>
      </c>
    </row>
    <row r="68" spans="1:21" x14ac:dyDescent="0.3">
      <c r="A68" s="5">
        <v>45521</v>
      </c>
      <c r="B68" s="2" t="str">
        <f t="shared" si="9"/>
        <v>Aug</v>
      </c>
      <c r="C68" s="2" t="str">
        <f t="shared" si="10"/>
        <v>Q3</v>
      </c>
      <c r="D68" s="2">
        <f t="shared" si="11"/>
        <v>2024</v>
      </c>
      <c r="E68" s="2" t="s">
        <v>20</v>
      </c>
      <c r="F68" s="2" t="s">
        <v>54</v>
      </c>
      <c r="G68" s="2" t="s">
        <v>57</v>
      </c>
      <c r="H68" s="2" t="s">
        <v>45</v>
      </c>
      <c r="I68" s="2" t="s">
        <v>46</v>
      </c>
      <c r="J68" s="2">
        <v>37</v>
      </c>
      <c r="K68" s="3">
        <v>2763.84</v>
      </c>
      <c r="L68" s="3">
        <f t="shared" si="12"/>
        <v>102262.08</v>
      </c>
      <c r="M68" s="3">
        <f>ROUND(L68*0.602,2)</f>
        <v>61561.77</v>
      </c>
      <c r="N68" s="3">
        <f t="shared" si="13"/>
        <v>40700.310000000005</v>
      </c>
      <c r="O68" s="8">
        <f t="shared" si="14"/>
        <v>0.39800002112219901</v>
      </c>
      <c r="P68" s="2" t="s">
        <v>41</v>
      </c>
      <c r="Q68" s="2" t="s">
        <v>35</v>
      </c>
      <c r="R68" s="3">
        <v>100087.35</v>
      </c>
      <c r="S68" s="3">
        <f t="shared" si="15"/>
        <v>102262.08</v>
      </c>
      <c r="T68" s="8">
        <f t="shared" si="16"/>
        <v>1.0217283203122072</v>
      </c>
      <c r="U68" s="10">
        <f t="shared" si="17"/>
        <v>2.1728320312207245E-2</v>
      </c>
    </row>
    <row r="69" spans="1:21" x14ac:dyDescent="0.3">
      <c r="A69" s="5">
        <v>45521</v>
      </c>
      <c r="B69" s="2" t="str">
        <f t="shared" si="9"/>
        <v>Aug</v>
      </c>
      <c r="C69" s="2" t="str">
        <f t="shared" si="10"/>
        <v>Q3</v>
      </c>
      <c r="D69" s="2">
        <f t="shared" si="11"/>
        <v>2024</v>
      </c>
      <c r="E69" s="2" t="s">
        <v>20</v>
      </c>
      <c r="F69" s="2" t="s">
        <v>54</v>
      </c>
      <c r="G69" s="2" t="s">
        <v>51</v>
      </c>
      <c r="H69" s="2" t="s">
        <v>45</v>
      </c>
      <c r="I69" s="2" t="s">
        <v>80</v>
      </c>
      <c r="J69" s="2">
        <v>19</v>
      </c>
      <c r="K69" s="3">
        <v>825.7</v>
      </c>
      <c r="L69" s="3">
        <f t="shared" si="12"/>
        <v>15688.300000000001</v>
      </c>
      <c r="M69" s="3">
        <f>ROUND(L69*0.761,2)</f>
        <v>11938.8</v>
      </c>
      <c r="N69" s="3">
        <f t="shared" si="13"/>
        <v>3749.5000000000018</v>
      </c>
      <c r="O69" s="8">
        <f t="shared" si="14"/>
        <v>0.23899976415545351</v>
      </c>
      <c r="P69" s="2" t="s">
        <v>41</v>
      </c>
      <c r="Q69" s="2" t="s">
        <v>35</v>
      </c>
      <c r="R69" s="3">
        <v>15558.66</v>
      </c>
      <c r="S69" s="3">
        <f t="shared" si="15"/>
        <v>15688.300000000001</v>
      </c>
      <c r="T69" s="8">
        <f t="shared" si="16"/>
        <v>1.0083323371035811</v>
      </c>
      <c r="U69" s="10">
        <f t="shared" si="17"/>
        <v>8.3323371035809793E-3</v>
      </c>
    </row>
    <row r="70" spans="1:21" x14ac:dyDescent="0.3">
      <c r="A70" s="5">
        <v>45526</v>
      </c>
      <c r="B70" s="2" t="str">
        <f t="shared" si="9"/>
        <v>Aug</v>
      </c>
      <c r="C70" s="2" t="str">
        <f t="shared" si="10"/>
        <v>Q3</v>
      </c>
      <c r="D70" s="2">
        <f t="shared" si="11"/>
        <v>2024</v>
      </c>
      <c r="E70" s="2" t="s">
        <v>20</v>
      </c>
      <c r="F70" s="2" t="s">
        <v>54</v>
      </c>
      <c r="G70" s="2" t="s">
        <v>66</v>
      </c>
      <c r="H70" s="2" t="s">
        <v>45</v>
      </c>
      <c r="I70" s="2" t="s">
        <v>46</v>
      </c>
      <c r="J70" s="2">
        <v>37</v>
      </c>
      <c r="K70" s="3">
        <v>1053.26</v>
      </c>
      <c r="L70" s="3">
        <f t="shared" si="12"/>
        <v>38970.620000000003</v>
      </c>
      <c r="M70" s="3">
        <f>ROUND(L70*0.752,2)</f>
        <v>29305.91</v>
      </c>
      <c r="N70" s="3">
        <f t="shared" si="13"/>
        <v>9664.7100000000028</v>
      </c>
      <c r="O70" s="8">
        <f t="shared" si="14"/>
        <v>0.24799990351705983</v>
      </c>
      <c r="P70" s="2" t="s">
        <v>25</v>
      </c>
      <c r="Q70" s="2" t="s">
        <v>35</v>
      </c>
      <c r="R70" s="3">
        <v>36803.980000000003</v>
      </c>
      <c r="S70" s="3">
        <f t="shared" si="15"/>
        <v>38970.620000000003</v>
      </c>
      <c r="T70" s="8">
        <f t="shared" si="16"/>
        <v>1.0588697200683186</v>
      </c>
      <c r="U70" s="10">
        <f t="shared" si="17"/>
        <v>5.8869720068318677E-2</v>
      </c>
    </row>
    <row r="71" spans="1:21" x14ac:dyDescent="0.3">
      <c r="A71" s="5">
        <v>45526</v>
      </c>
      <c r="B71" s="2" t="str">
        <f t="shared" si="9"/>
        <v>Aug</v>
      </c>
      <c r="C71" s="2" t="str">
        <f t="shared" si="10"/>
        <v>Q3</v>
      </c>
      <c r="D71" s="2">
        <f t="shared" si="11"/>
        <v>2024</v>
      </c>
      <c r="E71" s="2" t="s">
        <v>32</v>
      </c>
      <c r="F71" s="2" t="s">
        <v>73</v>
      </c>
      <c r="G71" s="2" t="s">
        <v>85</v>
      </c>
      <c r="H71" s="2" t="s">
        <v>45</v>
      </c>
      <c r="I71" s="2" t="s">
        <v>89</v>
      </c>
      <c r="J71" s="2">
        <v>12</v>
      </c>
      <c r="K71" s="3">
        <v>523.76</v>
      </c>
      <c r="L71" s="3">
        <f t="shared" si="12"/>
        <v>6285.12</v>
      </c>
      <c r="M71" s="3">
        <f>ROUND(L71*0.658,2)</f>
        <v>4135.6099999999997</v>
      </c>
      <c r="N71" s="3">
        <f t="shared" si="13"/>
        <v>2149.5100000000002</v>
      </c>
      <c r="O71" s="8">
        <f t="shared" si="14"/>
        <v>0.34199983452981014</v>
      </c>
      <c r="P71" s="2" t="s">
        <v>25</v>
      </c>
      <c r="Q71" s="2" t="s">
        <v>26</v>
      </c>
      <c r="R71" s="3">
        <v>6570.8</v>
      </c>
      <c r="S71" s="3">
        <f t="shared" si="15"/>
        <v>6285.12</v>
      </c>
      <c r="T71" s="8">
        <f t="shared" si="16"/>
        <v>0.95652279783283611</v>
      </c>
      <c r="U71" s="10">
        <f t="shared" si="17"/>
        <v>-4.3477202167163859E-2</v>
      </c>
    </row>
    <row r="72" spans="1:21" x14ac:dyDescent="0.3">
      <c r="A72" s="5">
        <v>45527</v>
      </c>
      <c r="B72" s="2" t="str">
        <f t="shared" si="9"/>
        <v>Aug</v>
      </c>
      <c r="C72" s="2" t="str">
        <f t="shared" si="10"/>
        <v>Q3</v>
      </c>
      <c r="D72" s="2">
        <f t="shared" si="11"/>
        <v>2024</v>
      </c>
      <c r="E72" s="2" t="s">
        <v>36</v>
      </c>
      <c r="F72" s="2" t="s">
        <v>79</v>
      </c>
      <c r="G72" s="2" t="s">
        <v>55</v>
      </c>
      <c r="H72" s="2" t="s">
        <v>39</v>
      </c>
      <c r="I72" s="2" t="s">
        <v>86</v>
      </c>
      <c r="J72" s="2">
        <v>32</v>
      </c>
      <c r="K72" s="3">
        <v>791.11</v>
      </c>
      <c r="L72" s="3">
        <f t="shared" si="12"/>
        <v>25315.52</v>
      </c>
      <c r="M72" s="3">
        <f>ROUND(L72*0.772,2)</f>
        <v>19543.580000000002</v>
      </c>
      <c r="N72" s="3">
        <f t="shared" si="13"/>
        <v>5771.9399999999987</v>
      </c>
      <c r="O72" s="8">
        <f t="shared" si="14"/>
        <v>0.22800005688210231</v>
      </c>
      <c r="P72" s="2" t="s">
        <v>25</v>
      </c>
      <c r="Q72" s="2" t="s">
        <v>35</v>
      </c>
      <c r="R72" s="3">
        <v>26391.64</v>
      </c>
      <c r="S72" s="3">
        <f t="shared" si="15"/>
        <v>25315.52</v>
      </c>
      <c r="T72" s="8">
        <f t="shared" si="16"/>
        <v>0.95922496669399859</v>
      </c>
      <c r="U72" s="10">
        <f t="shared" si="17"/>
        <v>-4.0775033306001407E-2</v>
      </c>
    </row>
    <row r="73" spans="1:21" x14ac:dyDescent="0.3">
      <c r="A73" s="5">
        <v>45528</v>
      </c>
      <c r="B73" s="2" t="str">
        <f t="shared" si="9"/>
        <v>Aug</v>
      </c>
      <c r="C73" s="2" t="str">
        <f t="shared" si="10"/>
        <v>Q3</v>
      </c>
      <c r="D73" s="2">
        <f t="shared" si="11"/>
        <v>2024</v>
      </c>
      <c r="E73" s="2" t="s">
        <v>36</v>
      </c>
      <c r="F73" s="2" t="s">
        <v>79</v>
      </c>
      <c r="G73" s="2" t="s">
        <v>48</v>
      </c>
      <c r="H73" s="2" t="s">
        <v>30</v>
      </c>
      <c r="I73" s="2" t="s">
        <v>69</v>
      </c>
      <c r="J73" s="2">
        <v>22</v>
      </c>
      <c r="K73" s="3">
        <v>12419.66</v>
      </c>
      <c r="L73" s="3">
        <f t="shared" si="12"/>
        <v>273232.52</v>
      </c>
      <c r="M73" s="3">
        <f>ROUND(L73*0.675,2)</f>
        <v>184431.95</v>
      </c>
      <c r="N73" s="3">
        <f t="shared" si="13"/>
        <v>88800.57</v>
      </c>
      <c r="O73" s="8">
        <f t="shared" si="14"/>
        <v>0.32500000365988646</v>
      </c>
      <c r="P73" s="2" t="s">
        <v>41</v>
      </c>
      <c r="Q73" s="2" t="s">
        <v>35</v>
      </c>
      <c r="R73" s="3">
        <v>266328.55</v>
      </c>
      <c r="S73" s="3">
        <f t="shared" si="15"/>
        <v>273232.52</v>
      </c>
      <c r="T73" s="8">
        <f t="shared" si="16"/>
        <v>1.0259227559343527</v>
      </c>
      <c r="U73" s="10">
        <f t="shared" si="17"/>
        <v>2.5922755934352629E-2</v>
      </c>
    </row>
    <row r="74" spans="1:21" x14ac:dyDescent="0.3">
      <c r="A74" s="5">
        <v>45533</v>
      </c>
      <c r="B74" s="2" t="str">
        <f t="shared" si="9"/>
        <v>Aug</v>
      </c>
      <c r="C74" s="2" t="str">
        <f t="shared" si="10"/>
        <v>Q3</v>
      </c>
      <c r="D74" s="2">
        <f t="shared" si="11"/>
        <v>2024</v>
      </c>
      <c r="E74" s="2" t="s">
        <v>27</v>
      </c>
      <c r="F74" s="2" t="s">
        <v>28</v>
      </c>
      <c r="G74" s="2" t="s">
        <v>66</v>
      </c>
      <c r="H74" s="2" t="s">
        <v>39</v>
      </c>
      <c r="I74" s="2" t="s">
        <v>40</v>
      </c>
      <c r="J74" s="2">
        <v>44</v>
      </c>
      <c r="K74" s="3">
        <v>1591.32</v>
      </c>
      <c r="L74" s="3">
        <f t="shared" si="12"/>
        <v>70018.080000000002</v>
      </c>
      <c r="M74" s="3">
        <f>ROUND(L74*0.653,2)</f>
        <v>45721.81</v>
      </c>
      <c r="N74" s="3">
        <f t="shared" si="13"/>
        <v>24296.270000000004</v>
      </c>
      <c r="O74" s="8">
        <f t="shared" si="14"/>
        <v>0.34699994629958436</v>
      </c>
      <c r="P74" s="2" t="s">
        <v>25</v>
      </c>
      <c r="Q74" s="2" t="s">
        <v>26</v>
      </c>
      <c r="R74" s="3">
        <v>67307.63</v>
      </c>
      <c r="S74" s="3">
        <f t="shared" si="15"/>
        <v>70018.080000000002</v>
      </c>
      <c r="T74" s="8">
        <f t="shared" si="16"/>
        <v>1.0402695801352684</v>
      </c>
      <c r="U74" s="10">
        <f t="shared" si="17"/>
        <v>4.0269580135268421E-2</v>
      </c>
    </row>
    <row r="75" spans="1:21" x14ac:dyDescent="0.3">
      <c r="A75" s="5">
        <v>45540</v>
      </c>
      <c r="B75" s="2" t="str">
        <f t="shared" si="9"/>
        <v>Sep</v>
      </c>
      <c r="C75" s="2" t="str">
        <f t="shared" si="10"/>
        <v>Q3</v>
      </c>
      <c r="D75" s="2">
        <f t="shared" si="11"/>
        <v>2024</v>
      </c>
      <c r="E75" s="2" t="s">
        <v>32</v>
      </c>
      <c r="F75" s="2" t="s">
        <v>74</v>
      </c>
      <c r="G75" s="2" t="s">
        <v>66</v>
      </c>
      <c r="H75" s="2" t="s">
        <v>30</v>
      </c>
      <c r="I75" s="2" t="s">
        <v>50</v>
      </c>
      <c r="J75" s="2">
        <v>19</v>
      </c>
      <c r="K75" s="3">
        <v>10414.719999999999</v>
      </c>
      <c r="L75" s="3">
        <f t="shared" si="12"/>
        <v>197879.67999999999</v>
      </c>
      <c r="M75" s="3">
        <f>ROUND(L75*0.638,2)</f>
        <v>126247.24</v>
      </c>
      <c r="N75" s="3">
        <f t="shared" si="13"/>
        <v>71632.439999999988</v>
      </c>
      <c r="O75" s="8">
        <f t="shared" si="14"/>
        <v>0.36199997897712383</v>
      </c>
      <c r="P75" s="2" t="s">
        <v>25</v>
      </c>
      <c r="Q75" s="2" t="s">
        <v>35</v>
      </c>
      <c r="R75" s="3">
        <v>199877.28</v>
      </c>
      <c r="S75" s="3">
        <f t="shared" si="15"/>
        <v>197879.67999999999</v>
      </c>
      <c r="T75" s="8">
        <f t="shared" si="16"/>
        <v>0.99000586760035958</v>
      </c>
      <c r="U75" s="10">
        <f t="shared" si="17"/>
        <v>-9.9941323996404485E-3</v>
      </c>
    </row>
    <row r="76" spans="1:21" x14ac:dyDescent="0.3">
      <c r="A76" s="5">
        <v>45541</v>
      </c>
      <c r="B76" s="2" t="str">
        <f t="shared" si="9"/>
        <v>Sep</v>
      </c>
      <c r="C76" s="2" t="str">
        <f t="shared" si="10"/>
        <v>Q3</v>
      </c>
      <c r="D76" s="2">
        <f t="shared" si="11"/>
        <v>2024</v>
      </c>
      <c r="E76" s="2" t="s">
        <v>42</v>
      </c>
      <c r="F76" s="2" t="s">
        <v>63</v>
      </c>
      <c r="G76" s="2" t="s">
        <v>51</v>
      </c>
      <c r="H76" s="2" t="s">
        <v>39</v>
      </c>
      <c r="I76" s="2" t="s">
        <v>58</v>
      </c>
      <c r="J76" s="2">
        <v>15</v>
      </c>
      <c r="K76" s="3">
        <v>1548.27</v>
      </c>
      <c r="L76" s="3">
        <f t="shared" si="12"/>
        <v>23224.05</v>
      </c>
      <c r="M76" s="3">
        <f>ROUND(L76*0.626,2)</f>
        <v>14538.26</v>
      </c>
      <c r="N76" s="3">
        <f t="shared" si="13"/>
        <v>8685.7899999999991</v>
      </c>
      <c r="O76" s="8">
        <f t="shared" si="14"/>
        <v>0.37399979762358415</v>
      </c>
      <c r="P76" s="2" t="s">
        <v>41</v>
      </c>
      <c r="Q76" s="2" t="s">
        <v>35</v>
      </c>
      <c r="R76" s="3">
        <v>20768.48</v>
      </c>
      <c r="S76" s="3">
        <f t="shared" si="15"/>
        <v>23224.05</v>
      </c>
      <c r="T76" s="8">
        <f t="shared" si="16"/>
        <v>1.1182354221397039</v>
      </c>
      <c r="U76" s="10">
        <f t="shared" si="17"/>
        <v>0.11823542213970401</v>
      </c>
    </row>
    <row r="77" spans="1:21" x14ac:dyDescent="0.3">
      <c r="A77" s="5">
        <v>45545</v>
      </c>
      <c r="B77" s="2" t="str">
        <f t="shared" si="9"/>
        <v>Sep</v>
      </c>
      <c r="C77" s="2" t="str">
        <f t="shared" si="10"/>
        <v>Q3</v>
      </c>
      <c r="D77" s="2">
        <f t="shared" si="11"/>
        <v>2024</v>
      </c>
      <c r="E77" s="2" t="s">
        <v>42</v>
      </c>
      <c r="F77" s="2" t="s">
        <v>83</v>
      </c>
      <c r="G77" s="2" t="s">
        <v>29</v>
      </c>
      <c r="H77" s="2" t="s">
        <v>30</v>
      </c>
      <c r="I77" s="2" t="s">
        <v>31</v>
      </c>
      <c r="J77" s="2">
        <v>43</v>
      </c>
      <c r="K77" s="3">
        <v>6213.75</v>
      </c>
      <c r="L77" s="3">
        <f t="shared" si="12"/>
        <v>267191.25</v>
      </c>
      <c r="M77" s="3">
        <f>ROUND(L77*0.576,2)</f>
        <v>153902.16</v>
      </c>
      <c r="N77" s="3">
        <f t="shared" si="13"/>
        <v>113289.09</v>
      </c>
      <c r="O77" s="8">
        <f t="shared" si="14"/>
        <v>0.42399999999999999</v>
      </c>
      <c r="P77" s="2" t="s">
        <v>25</v>
      </c>
      <c r="Q77" s="2" t="s">
        <v>35</v>
      </c>
      <c r="R77" s="3">
        <v>303082.28000000003</v>
      </c>
      <c r="S77" s="3">
        <f t="shared" si="15"/>
        <v>267191.25</v>
      </c>
      <c r="T77" s="8">
        <f t="shared" si="16"/>
        <v>0.88157991288702187</v>
      </c>
      <c r="U77" s="10">
        <f t="shared" si="17"/>
        <v>-0.11842008711297812</v>
      </c>
    </row>
    <row r="78" spans="1:21" x14ac:dyDescent="0.3">
      <c r="A78" s="5">
        <v>45546</v>
      </c>
      <c r="B78" s="2" t="str">
        <f t="shared" si="9"/>
        <v>Sep</v>
      </c>
      <c r="C78" s="2" t="str">
        <f t="shared" si="10"/>
        <v>Q3</v>
      </c>
      <c r="D78" s="2">
        <f t="shared" si="11"/>
        <v>2024</v>
      </c>
      <c r="E78" s="2" t="s">
        <v>20</v>
      </c>
      <c r="F78" s="2" t="s">
        <v>65</v>
      </c>
      <c r="G78" s="2" t="s">
        <v>29</v>
      </c>
      <c r="H78" s="2" t="s">
        <v>39</v>
      </c>
      <c r="I78" s="2" t="s">
        <v>62</v>
      </c>
      <c r="J78" s="2">
        <v>34</v>
      </c>
      <c r="K78" s="3">
        <v>718.31</v>
      </c>
      <c r="L78" s="3">
        <f t="shared" si="12"/>
        <v>24422.539999999997</v>
      </c>
      <c r="M78" s="3">
        <f>ROUND(L78*0.637,2)</f>
        <v>15557.16</v>
      </c>
      <c r="N78" s="3">
        <f t="shared" si="13"/>
        <v>8865.3799999999974</v>
      </c>
      <c r="O78" s="8">
        <f t="shared" si="14"/>
        <v>0.36299991728952019</v>
      </c>
      <c r="P78" s="2" t="s">
        <v>25</v>
      </c>
      <c r="Q78" s="2" t="s">
        <v>35</v>
      </c>
      <c r="R78" s="3">
        <v>27415.55</v>
      </c>
      <c r="S78" s="3">
        <f t="shared" si="15"/>
        <v>24422.539999999997</v>
      </c>
      <c r="T78" s="8">
        <f t="shared" si="16"/>
        <v>0.89082801548756085</v>
      </c>
      <c r="U78" s="10">
        <f t="shared" si="17"/>
        <v>-0.10917198451243919</v>
      </c>
    </row>
    <row r="79" spans="1:21" x14ac:dyDescent="0.3">
      <c r="A79" s="5">
        <v>45548</v>
      </c>
      <c r="B79" s="2" t="str">
        <f t="shared" si="9"/>
        <v>Sep</v>
      </c>
      <c r="C79" s="2" t="str">
        <f t="shared" si="10"/>
        <v>Q3</v>
      </c>
      <c r="D79" s="2">
        <f t="shared" si="11"/>
        <v>2024</v>
      </c>
      <c r="E79" s="2" t="s">
        <v>42</v>
      </c>
      <c r="F79" s="2" t="s">
        <v>47</v>
      </c>
      <c r="G79" s="2" t="s">
        <v>34</v>
      </c>
      <c r="H79" s="2" t="s">
        <v>45</v>
      </c>
      <c r="I79" s="2" t="s">
        <v>89</v>
      </c>
      <c r="J79" s="2">
        <v>33</v>
      </c>
      <c r="K79" s="3">
        <v>2053.3200000000002</v>
      </c>
      <c r="L79" s="3">
        <f t="shared" si="12"/>
        <v>67759.560000000012</v>
      </c>
      <c r="M79" s="3">
        <f>ROUND(L79*0.697,2)</f>
        <v>47228.41</v>
      </c>
      <c r="N79" s="3">
        <f t="shared" si="13"/>
        <v>20531.150000000009</v>
      </c>
      <c r="O79" s="8">
        <f t="shared" si="14"/>
        <v>0.30300004899677635</v>
      </c>
      <c r="P79" s="2" t="s">
        <v>41</v>
      </c>
      <c r="Q79" s="2" t="s">
        <v>26</v>
      </c>
      <c r="R79" s="3">
        <v>69625.83</v>
      </c>
      <c r="S79" s="3">
        <f t="shared" si="15"/>
        <v>67759.560000000012</v>
      </c>
      <c r="T79" s="8">
        <f t="shared" si="16"/>
        <v>0.97319572348365557</v>
      </c>
      <c r="U79" s="10">
        <f t="shared" si="17"/>
        <v>-2.6804276516344431E-2</v>
      </c>
    </row>
    <row r="80" spans="1:21" x14ac:dyDescent="0.3">
      <c r="A80" s="5">
        <v>45549</v>
      </c>
      <c r="B80" s="2" t="str">
        <f t="shared" si="9"/>
        <v>Sep</v>
      </c>
      <c r="C80" s="2" t="str">
        <f t="shared" si="10"/>
        <v>Q3</v>
      </c>
      <c r="D80" s="2">
        <f t="shared" si="11"/>
        <v>2024</v>
      </c>
      <c r="E80" s="2" t="s">
        <v>20</v>
      </c>
      <c r="F80" s="2" t="s">
        <v>21</v>
      </c>
      <c r="G80" s="2" t="s">
        <v>85</v>
      </c>
      <c r="H80" s="2" t="s">
        <v>52</v>
      </c>
      <c r="I80" s="2" t="s">
        <v>82</v>
      </c>
      <c r="J80" s="2">
        <v>22</v>
      </c>
      <c r="K80" s="3">
        <v>196.29</v>
      </c>
      <c r="L80" s="3">
        <f t="shared" si="12"/>
        <v>4318.38</v>
      </c>
      <c r="M80" s="3">
        <f>ROUND(L80*0.727,2)</f>
        <v>3139.46</v>
      </c>
      <c r="N80" s="3">
        <f t="shared" si="13"/>
        <v>1178.92</v>
      </c>
      <c r="O80" s="8">
        <f t="shared" si="14"/>
        <v>0.27300052334440233</v>
      </c>
      <c r="P80" s="2" t="s">
        <v>25</v>
      </c>
      <c r="Q80" s="2" t="s">
        <v>26</v>
      </c>
      <c r="R80" s="3">
        <v>4496.01</v>
      </c>
      <c r="S80" s="3">
        <f t="shared" si="15"/>
        <v>4318.38</v>
      </c>
      <c r="T80" s="8">
        <f t="shared" si="16"/>
        <v>0.9604916359171799</v>
      </c>
      <c r="U80" s="10">
        <f t="shared" si="17"/>
        <v>-3.9508364082820123E-2</v>
      </c>
    </row>
    <row r="81" spans="1:21" x14ac:dyDescent="0.3">
      <c r="A81" s="5">
        <v>45551</v>
      </c>
      <c r="B81" s="2" t="str">
        <f t="shared" si="9"/>
        <v>Sep</v>
      </c>
      <c r="C81" s="2" t="str">
        <f t="shared" si="10"/>
        <v>Q3</v>
      </c>
      <c r="D81" s="2">
        <f t="shared" si="11"/>
        <v>2024</v>
      </c>
      <c r="E81" s="2" t="s">
        <v>20</v>
      </c>
      <c r="F81" s="2" t="s">
        <v>72</v>
      </c>
      <c r="G81" s="2" t="s">
        <v>68</v>
      </c>
      <c r="H81" s="2" t="s">
        <v>45</v>
      </c>
      <c r="I81" s="2" t="s">
        <v>46</v>
      </c>
      <c r="J81" s="2">
        <v>22</v>
      </c>
      <c r="K81" s="3">
        <v>3083.84</v>
      </c>
      <c r="L81" s="3">
        <f t="shared" si="12"/>
        <v>67844.48000000001</v>
      </c>
      <c r="M81" s="3">
        <f>ROUND(L81*0.613,2)</f>
        <v>41588.67</v>
      </c>
      <c r="N81" s="3">
        <f t="shared" si="13"/>
        <v>26255.810000000012</v>
      </c>
      <c r="O81" s="8">
        <f t="shared" si="14"/>
        <v>0.38699994457913167</v>
      </c>
      <c r="P81" s="2" t="s">
        <v>25</v>
      </c>
      <c r="Q81" s="2" t="s">
        <v>35</v>
      </c>
      <c r="R81" s="3">
        <v>73937.100000000006</v>
      </c>
      <c r="S81" s="3">
        <f t="shared" si="15"/>
        <v>67844.48000000001</v>
      </c>
      <c r="T81" s="8">
        <f t="shared" si="16"/>
        <v>0.91759725496401678</v>
      </c>
      <c r="U81" s="10">
        <f t="shared" si="17"/>
        <v>-8.2402745035983216E-2</v>
      </c>
    </row>
    <row r="82" spans="1:21" x14ac:dyDescent="0.3">
      <c r="A82" s="5">
        <v>45555</v>
      </c>
      <c r="B82" s="2" t="str">
        <f t="shared" si="9"/>
        <v>Sep</v>
      </c>
      <c r="C82" s="2" t="str">
        <f t="shared" si="10"/>
        <v>Q3</v>
      </c>
      <c r="D82" s="2">
        <f t="shared" si="11"/>
        <v>2024</v>
      </c>
      <c r="E82" s="2" t="s">
        <v>36</v>
      </c>
      <c r="F82" s="2" t="s">
        <v>37</v>
      </c>
      <c r="G82" s="2" t="s">
        <v>48</v>
      </c>
      <c r="H82" s="2" t="s">
        <v>45</v>
      </c>
      <c r="I82" s="2" t="s">
        <v>46</v>
      </c>
      <c r="J82" s="2">
        <v>5</v>
      </c>
      <c r="K82" s="3">
        <v>1851.3</v>
      </c>
      <c r="L82" s="3">
        <f t="shared" si="12"/>
        <v>9256.5</v>
      </c>
      <c r="M82" s="3">
        <f>ROUND(L82*0.582,2)</f>
        <v>5387.28</v>
      </c>
      <c r="N82" s="3">
        <f t="shared" si="13"/>
        <v>3869.2200000000003</v>
      </c>
      <c r="O82" s="8">
        <f t="shared" si="14"/>
        <v>0.41800032409658083</v>
      </c>
      <c r="P82" s="2" t="s">
        <v>25</v>
      </c>
      <c r="Q82" s="2" t="s">
        <v>35</v>
      </c>
      <c r="R82" s="3">
        <v>10551.95</v>
      </c>
      <c r="S82" s="3">
        <f t="shared" si="15"/>
        <v>9256.5</v>
      </c>
      <c r="T82" s="8">
        <f t="shared" si="16"/>
        <v>0.87723122266500497</v>
      </c>
      <c r="U82" s="10">
        <f t="shared" si="17"/>
        <v>-0.12276877733499501</v>
      </c>
    </row>
    <row r="83" spans="1:21" x14ac:dyDescent="0.3">
      <c r="A83" s="5">
        <v>45556</v>
      </c>
      <c r="B83" s="2" t="str">
        <f t="shared" si="9"/>
        <v>Sep</v>
      </c>
      <c r="C83" s="2" t="str">
        <f t="shared" si="10"/>
        <v>Q3</v>
      </c>
      <c r="D83" s="2">
        <f t="shared" si="11"/>
        <v>2024</v>
      </c>
      <c r="E83" s="2" t="s">
        <v>27</v>
      </c>
      <c r="F83" s="2" t="s">
        <v>28</v>
      </c>
      <c r="G83" s="2" t="s">
        <v>29</v>
      </c>
      <c r="H83" s="2" t="s">
        <v>45</v>
      </c>
      <c r="I83" s="2" t="s">
        <v>89</v>
      </c>
      <c r="J83" s="2">
        <v>13</v>
      </c>
      <c r="K83" s="3">
        <v>430.48</v>
      </c>
      <c r="L83" s="3">
        <f t="shared" si="12"/>
        <v>5596.24</v>
      </c>
      <c r="M83" s="3">
        <f>ROUND(L83*0.57,2)</f>
        <v>3189.86</v>
      </c>
      <c r="N83" s="3">
        <f t="shared" si="13"/>
        <v>2406.3799999999997</v>
      </c>
      <c r="O83" s="8">
        <f t="shared" si="14"/>
        <v>0.42999942818749726</v>
      </c>
      <c r="P83" s="2" t="s">
        <v>25</v>
      </c>
      <c r="Q83" s="2" t="s">
        <v>26</v>
      </c>
      <c r="R83" s="3">
        <v>5965.72</v>
      </c>
      <c r="S83" s="3">
        <f t="shared" si="15"/>
        <v>5596.24</v>
      </c>
      <c r="T83" s="8">
        <f t="shared" si="16"/>
        <v>0.93806615127763282</v>
      </c>
      <c r="U83" s="10">
        <f t="shared" si="17"/>
        <v>-6.19338487223672E-2</v>
      </c>
    </row>
    <row r="84" spans="1:21" x14ac:dyDescent="0.3">
      <c r="A84" s="5">
        <v>45559</v>
      </c>
      <c r="B84" s="2" t="str">
        <f t="shared" si="9"/>
        <v>Sep</v>
      </c>
      <c r="C84" s="2" t="str">
        <f t="shared" si="10"/>
        <v>Q3</v>
      </c>
      <c r="D84" s="2">
        <f t="shared" si="11"/>
        <v>2024</v>
      </c>
      <c r="E84" s="2" t="s">
        <v>27</v>
      </c>
      <c r="F84" s="2" t="s">
        <v>59</v>
      </c>
      <c r="G84" s="2" t="s">
        <v>55</v>
      </c>
      <c r="H84" s="2" t="s">
        <v>23</v>
      </c>
      <c r="I84" s="2" t="s">
        <v>90</v>
      </c>
      <c r="J84" s="2">
        <v>21</v>
      </c>
      <c r="K84" s="3">
        <v>46293.67</v>
      </c>
      <c r="L84" s="3">
        <f t="shared" si="12"/>
        <v>972167.07</v>
      </c>
      <c r="M84" s="3">
        <f>ROUND(L84*0.76,2)</f>
        <v>738846.97</v>
      </c>
      <c r="N84" s="3">
        <f t="shared" si="13"/>
        <v>233320.09999999998</v>
      </c>
      <c r="O84" s="8">
        <f t="shared" si="14"/>
        <v>0.24000000329161528</v>
      </c>
      <c r="P84" s="2" t="s">
        <v>25</v>
      </c>
      <c r="Q84" s="2" t="s">
        <v>26</v>
      </c>
      <c r="R84" s="3">
        <v>934458.14</v>
      </c>
      <c r="S84" s="3">
        <f t="shared" si="15"/>
        <v>972167.07</v>
      </c>
      <c r="T84" s="8">
        <f t="shared" si="16"/>
        <v>1.0403537926268158</v>
      </c>
      <c r="U84" s="10">
        <f t="shared" si="17"/>
        <v>4.0353792626815724E-2</v>
      </c>
    </row>
    <row r="85" spans="1:21" x14ac:dyDescent="0.3">
      <c r="A85" s="5">
        <v>45560</v>
      </c>
      <c r="B85" s="2" t="str">
        <f t="shared" si="9"/>
        <v>Sep</v>
      </c>
      <c r="C85" s="2" t="str">
        <f t="shared" si="10"/>
        <v>Q3</v>
      </c>
      <c r="D85" s="2">
        <f t="shared" si="11"/>
        <v>2024</v>
      </c>
      <c r="E85" s="2" t="s">
        <v>27</v>
      </c>
      <c r="F85" s="2" t="s">
        <v>59</v>
      </c>
      <c r="G85" s="2" t="s">
        <v>22</v>
      </c>
      <c r="H85" s="2" t="s">
        <v>39</v>
      </c>
      <c r="I85" s="2" t="s">
        <v>86</v>
      </c>
      <c r="J85" s="2">
        <v>32</v>
      </c>
      <c r="K85" s="3">
        <v>1795.85</v>
      </c>
      <c r="L85" s="3">
        <f t="shared" si="12"/>
        <v>57467.199999999997</v>
      </c>
      <c r="M85" s="3">
        <f>ROUND(L85*0.596,2)</f>
        <v>34250.449999999997</v>
      </c>
      <c r="N85" s="3">
        <f t="shared" si="13"/>
        <v>23216.75</v>
      </c>
      <c r="O85" s="8">
        <f t="shared" si="14"/>
        <v>0.40400002088147674</v>
      </c>
      <c r="P85" s="2" t="s">
        <v>41</v>
      </c>
      <c r="Q85" s="2" t="s">
        <v>35</v>
      </c>
      <c r="R85" s="3">
        <v>51187.1</v>
      </c>
      <c r="S85" s="3">
        <f t="shared" si="15"/>
        <v>57467.199999999997</v>
      </c>
      <c r="T85" s="8">
        <f t="shared" si="16"/>
        <v>1.1226891150309355</v>
      </c>
      <c r="U85" s="10">
        <f t="shared" si="17"/>
        <v>0.12268911503093551</v>
      </c>
    </row>
    <row r="86" spans="1:21" x14ac:dyDescent="0.3">
      <c r="A86" s="5">
        <v>45565</v>
      </c>
      <c r="B86" s="2" t="str">
        <f t="shared" si="9"/>
        <v>Sep</v>
      </c>
      <c r="C86" s="2" t="str">
        <f t="shared" si="10"/>
        <v>Q3</v>
      </c>
      <c r="D86" s="2">
        <f t="shared" si="11"/>
        <v>2024</v>
      </c>
      <c r="E86" s="2" t="s">
        <v>32</v>
      </c>
      <c r="F86" s="2" t="s">
        <v>74</v>
      </c>
      <c r="G86" s="2" t="s">
        <v>68</v>
      </c>
      <c r="H86" s="2" t="s">
        <v>52</v>
      </c>
      <c r="I86" s="2" t="s">
        <v>71</v>
      </c>
      <c r="J86" s="2">
        <v>41</v>
      </c>
      <c r="K86" s="3">
        <v>277.5</v>
      </c>
      <c r="L86" s="3">
        <f t="shared" si="12"/>
        <v>11377.5</v>
      </c>
      <c r="M86" s="3">
        <f>ROUND(L86*0.69,2)</f>
        <v>7850.48</v>
      </c>
      <c r="N86" s="3">
        <f t="shared" si="13"/>
        <v>3527.0200000000004</v>
      </c>
      <c r="O86" s="8">
        <f t="shared" si="14"/>
        <v>0.30999956053614591</v>
      </c>
      <c r="P86" s="2" t="s">
        <v>41</v>
      </c>
      <c r="Q86" s="2" t="s">
        <v>35</v>
      </c>
      <c r="R86" s="3">
        <v>10487.66</v>
      </c>
      <c r="S86" s="3">
        <f t="shared" si="15"/>
        <v>11377.5</v>
      </c>
      <c r="T86" s="8">
        <f t="shared" si="16"/>
        <v>1.0848463813662914</v>
      </c>
      <c r="U86" s="10">
        <f t="shared" si="17"/>
        <v>8.4846381366291454E-2</v>
      </c>
    </row>
    <row r="87" spans="1:21" x14ac:dyDescent="0.3">
      <c r="A87" s="5">
        <v>45566</v>
      </c>
      <c r="B87" s="2" t="str">
        <f t="shared" si="9"/>
        <v>Oct</v>
      </c>
      <c r="C87" s="2" t="str">
        <f t="shared" si="10"/>
        <v>Q4</v>
      </c>
      <c r="D87" s="2">
        <f t="shared" si="11"/>
        <v>2024</v>
      </c>
      <c r="E87" s="2" t="s">
        <v>36</v>
      </c>
      <c r="F87" s="2" t="s">
        <v>79</v>
      </c>
      <c r="G87" s="2" t="s">
        <v>51</v>
      </c>
      <c r="H87" s="2" t="s">
        <v>30</v>
      </c>
      <c r="I87" s="2" t="s">
        <v>60</v>
      </c>
      <c r="J87" s="2">
        <v>20</v>
      </c>
      <c r="K87" s="3">
        <v>9433.18</v>
      </c>
      <c r="L87" s="3">
        <f t="shared" si="12"/>
        <v>188663.6</v>
      </c>
      <c r="M87" s="3">
        <f>ROUND(L87*0.661,2)</f>
        <v>124706.64</v>
      </c>
      <c r="N87" s="3">
        <f t="shared" si="13"/>
        <v>63956.960000000006</v>
      </c>
      <c r="O87" s="8">
        <f t="shared" si="14"/>
        <v>0.33899999787982421</v>
      </c>
      <c r="P87" s="2" t="s">
        <v>25</v>
      </c>
      <c r="Q87" s="2" t="s">
        <v>26</v>
      </c>
      <c r="R87" s="3">
        <v>164717.74</v>
      </c>
      <c r="S87" s="3">
        <f t="shared" si="15"/>
        <v>188663.6</v>
      </c>
      <c r="T87" s="8">
        <f t="shared" si="16"/>
        <v>1.1453751126017151</v>
      </c>
      <c r="U87" s="10">
        <f t="shared" si="17"/>
        <v>0.14537511260171501</v>
      </c>
    </row>
    <row r="88" spans="1:21" x14ac:dyDescent="0.3">
      <c r="A88" s="5">
        <v>45574</v>
      </c>
      <c r="B88" s="2" t="str">
        <f t="shared" si="9"/>
        <v>Oct</v>
      </c>
      <c r="C88" s="2" t="str">
        <f t="shared" si="10"/>
        <v>Q4</v>
      </c>
      <c r="D88" s="2">
        <f t="shared" si="11"/>
        <v>2024</v>
      </c>
      <c r="E88" s="2" t="s">
        <v>36</v>
      </c>
      <c r="F88" s="2" t="s">
        <v>37</v>
      </c>
      <c r="G88" s="2" t="s">
        <v>57</v>
      </c>
      <c r="H88" s="2" t="s">
        <v>45</v>
      </c>
      <c r="I88" s="2" t="s">
        <v>46</v>
      </c>
      <c r="J88" s="2">
        <v>20</v>
      </c>
      <c r="K88" s="3">
        <v>1276.08</v>
      </c>
      <c r="L88" s="3">
        <f t="shared" si="12"/>
        <v>25521.599999999999</v>
      </c>
      <c r="M88" s="3">
        <f>ROUND(L88*0.743,2)</f>
        <v>18962.55</v>
      </c>
      <c r="N88" s="3">
        <f t="shared" si="13"/>
        <v>6559.0499999999993</v>
      </c>
      <c r="O88" s="8">
        <f t="shared" si="14"/>
        <v>0.25699995298100431</v>
      </c>
      <c r="P88" s="2" t="s">
        <v>25</v>
      </c>
      <c r="Q88" s="2" t="s">
        <v>26</v>
      </c>
      <c r="R88" s="3">
        <v>26133.53</v>
      </c>
      <c r="S88" s="3">
        <f t="shared" si="15"/>
        <v>25521.599999999999</v>
      </c>
      <c r="T88" s="8">
        <f t="shared" si="16"/>
        <v>0.9765844874381685</v>
      </c>
      <c r="U88" s="10">
        <f t="shared" si="17"/>
        <v>-2.3415512561831497E-2</v>
      </c>
    </row>
    <row r="89" spans="1:21" x14ac:dyDescent="0.3">
      <c r="A89" s="5">
        <v>45574</v>
      </c>
      <c r="B89" s="2" t="str">
        <f t="shared" si="9"/>
        <v>Oct</v>
      </c>
      <c r="C89" s="2" t="str">
        <f t="shared" si="10"/>
        <v>Q4</v>
      </c>
      <c r="D89" s="2">
        <f t="shared" si="11"/>
        <v>2024</v>
      </c>
      <c r="E89" s="2" t="s">
        <v>42</v>
      </c>
      <c r="F89" s="2" t="s">
        <v>83</v>
      </c>
      <c r="G89" s="2" t="s">
        <v>38</v>
      </c>
      <c r="H89" s="2" t="s">
        <v>52</v>
      </c>
      <c r="I89" s="2" t="s">
        <v>84</v>
      </c>
      <c r="J89" s="2">
        <v>2</v>
      </c>
      <c r="K89" s="3">
        <v>954.36</v>
      </c>
      <c r="L89" s="3">
        <f t="shared" si="12"/>
        <v>1908.72</v>
      </c>
      <c r="M89" s="3">
        <f>ROUND(L89*0.605,2)</f>
        <v>1154.78</v>
      </c>
      <c r="N89" s="3">
        <f t="shared" si="13"/>
        <v>753.94</v>
      </c>
      <c r="O89" s="8">
        <f t="shared" si="14"/>
        <v>0.39499769479022595</v>
      </c>
      <c r="P89" s="2" t="s">
        <v>41</v>
      </c>
      <c r="Q89" s="2" t="s">
        <v>35</v>
      </c>
      <c r="R89" s="3">
        <v>1660.94</v>
      </c>
      <c r="S89" s="3">
        <f t="shared" si="15"/>
        <v>1908.72</v>
      </c>
      <c r="T89" s="8">
        <f t="shared" si="16"/>
        <v>1.1491805844883018</v>
      </c>
      <c r="U89" s="10">
        <f t="shared" si="17"/>
        <v>0.14918058448830179</v>
      </c>
    </row>
    <row r="90" spans="1:21" x14ac:dyDescent="0.3">
      <c r="A90" s="5">
        <v>45582</v>
      </c>
      <c r="B90" s="2" t="str">
        <f t="shared" si="9"/>
        <v>Oct</v>
      </c>
      <c r="C90" s="2" t="str">
        <f t="shared" si="10"/>
        <v>Q4</v>
      </c>
      <c r="D90" s="2">
        <f t="shared" si="11"/>
        <v>2024</v>
      </c>
      <c r="E90" s="2" t="s">
        <v>32</v>
      </c>
      <c r="F90" s="2" t="s">
        <v>70</v>
      </c>
      <c r="G90" s="2" t="s">
        <v>51</v>
      </c>
      <c r="H90" s="2" t="s">
        <v>30</v>
      </c>
      <c r="I90" s="2" t="s">
        <v>87</v>
      </c>
      <c r="J90" s="2">
        <v>13</v>
      </c>
      <c r="K90" s="3">
        <v>8329.77</v>
      </c>
      <c r="L90" s="3">
        <f t="shared" si="12"/>
        <v>108287.01000000001</v>
      </c>
      <c r="M90" s="3">
        <f>ROUND(L90*0.584,2)</f>
        <v>63239.61</v>
      </c>
      <c r="N90" s="3">
        <f t="shared" si="13"/>
        <v>45047.400000000009</v>
      </c>
      <c r="O90" s="8">
        <f t="shared" si="14"/>
        <v>0.41600003546131714</v>
      </c>
      <c r="P90" s="2" t="s">
        <v>25</v>
      </c>
      <c r="Q90" s="2" t="s">
        <v>26</v>
      </c>
      <c r="R90" s="3">
        <v>93545.26</v>
      </c>
      <c r="S90" s="3">
        <f t="shared" si="15"/>
        <v>108287.01000000001</v>
      </c>
      <c r="T90" s="8">
        <f t="shared" si="16"/>
        <v>1.1575894919742595</v>
      </c>
      <c r="U90" s="10">
        <f t="shared" si="17"/>
        <v>0.15758949197425948</v>
      </c>
    </row>
    <row r="91" spans="1:21" x14ac:dyDescent="0.3">
      <c r="A91" s="5">
        <v>45583</v>
      </c>
      <c r="B91" s="2" t="str">
        <f t="shared" si="9"/>
        <v>Oct</v>
      </c>
      <c r="C91" s="2" t="str">
        <f t="shared" si="10"/>
        <v>Q4</v>
      </c>
      <c r="D91" s="2">
        <f t="shared" si="11"/>
        <v>2024</v>
      </c>
      <c r="E91" s="2" t="s">
        <v>42</v>
      </c>
      <c r="F91" s="2" t="s">
        <v>43</v>
      </c>
      <c r="G91" s="2" t="s">
        <v>57</v>
      </c>
      <c r="H91" s="2" t="s">
        <v>45</v>
      </c>
      <c r="I91" s="2" t="s">
        <v>89</v>
      </c>
      <c r="J91" s="2">
        <v>42</v>
      </c>
      <c r="K91" s="3">
        <v>3449.93</v>
      </c>
      <c r="L91" s="3">
        <f t="shared" si="12"/>
        <v>144897.06</v>
      </c>
      <c r="M91" s="3">
        <f>ROUND(L91*0.672,2)</f>
        <v>97370.82</v>
      </c>
      <c r="N91" s="3">
        <f t="shared" si="13"/>
        <v>47526.239999999991</v>
      </c>
      <c r="O91" s="8">
        <f t="shared" si="14"/>
        <v>0.32800002981426946</v>
      </c>
      <c r="P91" s="2" t="s">
        <v>25</v>
      </c>
      <c r="Q91" s="2" t="s">
        <v>26</v>
      </c>
      <c r="R91" s="3">
        <v>152193.93</v>
      </c>
      <c r="S91" s="3">
        <f t="shared" si="15"/>
        <v>144897.06</v>
      </c>
      <c r="T91" s="8">
        <f t="shared" si="16"/>
        <v>0.95205544662655073</v>
      </c>
      <c r="U91" s="10">
        <f t="shared" si="17"/>
        <v>-4.7944553373449231E-2</v>
      </c>
    </row>
    <row r="92" spans="1:21" x14ac:dyDescent="0.3">
      <c r="A92" s="5">
        <v>45583</v>
      </c>
      <c r="B92" s="2" t="str">
        <f t="shared" si="9"/>
        <v>Oct</v>
      </c>
      <c r="C92" s="2" t="str">
        <f t="shared" si="10"/>
        <v>Q4</v>
      </c>
      <c r="D92" s="2">
        <f t="shared" si="11"/>
        <v>2024</v>
      </c>
      <c r="E92" s="2" t="s">
        <v>36</v>
      </c>
      <c r="F92" s="2" t="s">
        <v>76</v>
      </c>
      <c r="G92" s="2" t="s">
        <v>34</v>
      </c>
      <c r="H92" s="2" t="s">
        <v>39</v>
      </c>
      <c r="I92" s="2" t="s">
        <v>56</v>
      </c>
      <c r="J92" s="2">
        <v>8</v>
      </c>
      <c r="K92" s="3">
        <v>826.8</v>
      </c>
      <c r="L92" s="3">
        <f t="shared" si="12"/>
        <v>6614.4</v>
      </c>
      <c r="M92" s="3">
        <f>ROUND(L92*0.626,2)</f>
        <v>4140.6099999999997</v>
      </c>
      <c r="N92" s="3">
        <f t="shared" si="13"/>
        <v>2473.79</v>
      </c>
      <c r="O92" s="8">
        <f t="shared" si="14"/>
        <v>0.37400066521528785</v>
      </c>
      <c r="P92" s="2" t="s">
        <v>25</v>
      </c>
      <c r="Q92" s="2" t="s">
        <v>26</v>
      </c>
      <c r="R92" s="3">
        <v>7073.01</v>
      </c>
      <c r="S92" s="3">
        <f t="shared" si="15"/>
        <v>6614.4</v>
      </c>
      <c r="T92" s="8">
        <f t="shared" si="16"/>
        <v>0.93516056106240475</v>
      </c>
      <c r="U92" s="10">
        <f t="shared" si="17"/>
        <v>-6.4839438937595251E-2</v>
      </c>
    </row>
    <row r="93" spans="1:21" x14ac:dyDescent="0.3">
      <c r="A93" s="5">
        <v>45585</v>
      </c>
      <c r="B93" s="2" t="str">
        <f t="shared" si="9"/>
        <v>Oct</v>
      </c>
      <c r="C93" s="2" t="str">
        <f t="shared" si="10"/>
        <v>Q4</v>
      </c>
      <c r="D93" s="2">
        <f t="shared" si="11"/>
        <v>2024</v>
      </c>
      <c r="E93" s="2" t="s">
        <v>42</v>
      </c>
      <c r="F93" s="2" t="s">
        <v>43</v>
      </c>
      <c r="G93" s="2" t="s">
        <v>29</v>
      </c>
      <c r="H93" s="2" t="s">
        <v>39</v>
      </c>
      <c r="I93" s="2" t="s">
        <v>86</v>
      </c>
      <c r="J93" s="2">
        <v>29</v>
      </c>
      <c r="K93" s="3">
        <v>1268.94</v>
      </c>
      <c r="L93" s="3">
        <f t="shared" si="12"/>
        <v>36799.26</v>
      </c>
      <c r="M93" s="3">
        <f>ROUND(L93*0.705,2)</f>
        <v>25943.48</v>
      </c>
      <c r="N93" s="3">
        <f t="shared" si="13"/>
        <v>10855.780000000002</v>
      </c>
      <c r="O93" s="8">
        <f t="shared" si="14"/>
        <v>0.29499995380341892</v>
      </c>
      <c r="P93" s="2" t="s">
        <v>41</v>
      </c>
      <c r="Q93" s="2" t="s">
        <v>26</v>
      </c>
      <c r="R93" s="3">
        <v>36922.620000000003</v>
      </c>
      <c r="S93" s="3">
        <f t="shared" si="15"/>
        <v>36799.26</v>
      </c>
      <c r="T93" s="8">
        <f t="shared" si="16"/>
        <v>0.99665895865461329</v>
      </c>
      <c r="U93" s="10">
        <f t="shared" si="17"/>
        <v>-3.3410413453866649E-3</v>
      </c>
    </row>
    <row r="94" spans="1:21" x14ac:dyDescent="0.3">
      <c r="A94" s="5">
        <v>45587</v>
      </c>
      <c r="B94" s="2" t="str">
        <f t="shared" si="9"/>
        <v>Oct</v>
      </c>
      <c r="C94" s="2" t="str">
        <f t="shared" si="10"/>
        <v>Q4</v>
      </c>
      <c r="D94" s="2">
        <f t="shared" si="11"/>
        <v>2024</v>
      </c>
      <c r="E94" s="2" t="s">
        <v>42</v>
      </c>
      <c r="F94" s="2" t="s">
        <v>47</v>
      </c>
      <c r="G94" s="2" t="s">
        <v>51</v>
      </c>
      <c r="H94" s="2" t="s">
        <v>23</v>
      </c>
      <c r="I94" s="2" t="s">
        <v>77</v>
      </c>
      <c r="J94" s="2">
        <v>40</v>
      </c>
      <c r="K94" s="3">
        <v>26639.97</v>
      </c>
      <c r="L94" s="3">
        <f t="shared" si="12"/>
        <v>1065598.8</v>
      </c>
      <c r="M94" s="3">
        <f>ROUND(L94*0.655,2)</f>
        <v>697967.21</v>
      </c>
      <c r="N94" s="3">
        <f t="shared" si="13"/>
        <v>367631.59000000008</v>
      </c>
      <c r="O94" s="8">
        <f t="shared" si="14"/>
        <v>0.34500000375375806</v>
      </c>
      <c r="P94" s="2" t="s">
        <v>25</v>
      </c>
      <c r="Q94" s="2" t="s">
        <v>26</v>
      </c>
      <c r="R94" s="3">
        <v>941197.99</v>
      </c>
      <c r="S94" s="3">
        <f t="shared" si="15"/>
        <v>1065598.8</v>
      </c>
      <c r="T94" s="8">
        <f t="shared" si="16"/>
        <v>1.132172838575654</v>
      </c>
      <c r="U94" s="10">
        <f t="shared" si="17"/>
        <v>0.13217283857565404</v>
      </c>
    </row>
    <row r="95" spans="1:21" x14ac:dyDescent="0.3">
      <c r="A95" s="5">
        <v>45590</v>
      </c>
      <c r="B95" s="2" t="str">
        <f t="shared" si="9"/>
        <v>Oct</v>
      </c>
      <c r="C95" s="2" t="str">
        <f t="shared" si="10"/>
        <v>Q4</v>
      </c>
      <c r="D95" s="2">
        <f t="shared" si="11"/>
        <v>2024</v>
      </c>
      <c r="E95" s="2" t="s">
        <v>36</v>
      </c>
      <c r="F95" s="2" t="s">
        <v>76</v>
      </c>
      <c r="G95" s="2" t="s">
        <v>51</v>
      </c>
      <c r="H95" s="2" t="s">
        <v>39</v>
      </c>
      <c r="I95" s="2" t="s">
        <v>58</v>
      </c>
      <c r="J95" s="2">
        <v>11</v>
      </c>
      <c r="K95" s="3">
        <v>1515.08</v>
      </c>
      <c r="L95" s="3">
        <f t="shared" si="12"/>
        <v>16665.879999999997</v>
      </c>
      <c r="M95" s="3">
        <f>ROUND(L95*0.708,2)</f>
        <v>11799.44</v>
      </c>
      <c r="N95" s="3">
        <f t="shared" si="13"/>
        <v>4866.4399999999969</v>
      </c>
      <c r="O95" s="8">
        <f t="shared" si="14"/>
        <v>0.29200018240860953</v>
      </c>
      <c r="P95" s="2" t="s">
        <v>25</v>
      </c>
      <c r="Q95" s="2" t="s">
        <v>35</v>
      </c>
      <c r="R95" s="3">
        <v>15013.47</v>
      </c>
      <c r="S95" s="3">
        <f t="shared" si="15"/>
        <v>16665.879999999997</v>
      </c>
      <c r="T95" s="8">
        <f t="shared" si="16"/>
        <v>1.1100618311423007</v>
      </c>
      <c r="U95" s="10">
        <f t="shared" si="17"/>
        <v>0.11006183114230075</v>
      </c>
    </row>
    <row r="96" spans="1:21" x14ac:dyDescent="0.3">
      <c r="A96" s="5">
        <v>45590</v>
      </c>
      <c r="B96" s="2" t="str">
        <f t="shared" si="9"/>
        <v>Oct</v>
      </c>
      <c r="C96" s="2" t="str">
        <f t="shared" si="10"/>
        <v>Q4</v>
      </c>
      <c r="D96" s="2">
        <f t="shared" si="11"/>
        <v>2024</v>
      </c>
      <c r="E96" s="2" t="s">
        <v>36</v>
      </c>
      <c r="F96" s="2" t="s">
        <v>79</v>
      </c>
      <c r="G96" s="2" t="s">
        <v>44</v>
      </c>
      <c r="H96" s="2" t="s">
        <v>52</v>
      </c>
      <c r="I96" s="2" t="s">
        <v>82</v>
      </c>
      <c r="J96" s="2">
        <v>26</v>
      </c>
      <c r="K96" s="3">
        <v>1007.32</v>
      </c>
      <c r="L96" s="3">
        <f t="shared" si="12"/>
        <v>26190.32</v>
      </c>
      <c r="M96" s="3">
        <f>ROUND(L96*0.634,2)</f>
        <v>16604.66</v>
      </c>
      <c r="N96" s="3">
        <f t="shared" si="13"/>
        <v>9585.66</v>
      </c>
      <c r="O96" s="8">
        <f t="shared" si="14"/>
        <v>0.36600010996429216</v>
      </c>
      <c r="P96" s="2" t="s">
        <v>41</v>
      </c>
      <c r="Q96" s="2" t="s">
        <v>26</v>
      </c>
      <c r="R96" s="3">
        <v>29585.11</v>
      </c>
      <c r="S96" s="3">
        <f t="shared" si="15"/>
        <v>26190.32</v>
      </c>
      <c r="T96" s="8">
        <f t="shared" si="16"/>
        <v>0.88525342647027505</v>
      </c>
      <c r="U96" s="10">
        <f t="shared" si="17"/>
        <v>-0.11474657352972495</v>
      </c>
    </row>
    <row r="97" spans="1:21" x14ac:dyDescent="0.3">
      <c r="A97" s="5">
        <v>45599</v>
      </c>
      <c r="B97" s="2" t="str">
        <f t="shared" si="9"/>
        <v>Nov</v>
      </c>
      <c r="C97" s="2" t="str">
        <f t="shared" si="10"/>
        <v>Q4</v>
      </c>
      <c r="D97" s="2">
        <f t="shared" si="11"/>
        <v>2024</v>
      </c>
      <c r="E97" s="2" t="s">
        <v>42</v>
      </c>
      <c r="F97" s="2" t="s">
        <v>43</v>
      </c>
      <c r="G97" s="2" t="s">
        <v>38</v>
      </c>
      <c r="H97" s="2" t="s">
        <v>39</v>
      </c>
      <c r="I97" s="2" t="s">
        <v>56</v>
      </c>
      <c r="J97" s="2">
        <v>36</v>
      </c>
      <c r="K97" s="3">
        <v>2425.88</v>
      </c>
      <c r="L97" s="3">
        <f t="shared" si="12"/>
        <v>87331.680000000008</v>
      </c>
      <c r="M97" s="3">
        <f>ROUND(L97*0.672,2)</f>
        <v>58686.89</v>
      </c>
      <c r="N97" s="3">
        <f t="shared" si="13"/>
        <v>28644.790000000008</v>
      </c>
      <c r="O97" s="8">
        <f t="shared" si="14"/>
        <v>0.32799998809137765</v>
      </c>
      <c r="P97" s="2" t="s">
        <v>25</v>
      </c>
      <c r="Q97" s="2" t="s">
        <v>26</v>
      </c>
      <c r="R97" s="3">
        <v>84408.31</v>
      </c>
      <c r="S97" s="3">
        <f t="shared" si="15"/>
        <v>87331.680000000008</v>
      </c>
      <c r="T97" s="8">
        <f t="shared" si="16"/>
        <v>1.0346336752862368</v>
      </c>
      <c r="U97" s="10">
        <f t="shared" si="17"/>
        <v>3.4633675286236745E-2</v>
      </c>
    </row>
    <row r="98" spans="1:21" x14ac:dyDescent="0.3">
      <c r="A98" s="5">
        <v>45601</v>
      </c>
      <c r="B98" s="2" t="str">
        <f t="shared" si="9"/>
        <v>Nov</v>
      </c>
      <c r="C98" s="2" t="str">
        <f t="shared" si="10"/>
        <v>Q4</v>
      </c>
      <c r="D98" s="2">
        <f t="shared" si="11"/>
        <v>2024</v>
      </c>
      <c r="E98" s="2" t="s">
        <v>32</v>
      </c>
      <c r="F98" s="2" t="s">
        <v>73</v>
      </c>
      <c r="G98" s="2" t="s">
        <v>68</v>
      </c>
      <c r="H98" s="2" t="s">
        <v>45</v>
      </c>
      <c r="I98" s="2" t="s">
        <v>80</v>
      </c>
      <c r="J98" s="2">
        <v>8</v>
      </c>
      <c r="K98" s="3">
        <v>591.65</v>
      </c>
      <c r="L98" s="3">
        <f t="shared" si="12"/>
        <v>4733.2</v>
      </c>
      <c r="M98" s="3">
        <f>ROUND(L98*0.657,2)</f>
        <v>3109.71</v>
      </c>
      <c r="N98" s="3">
        <f t="shared" si="13"/>
        <v>1623.4899999999998</v>
      </c>
      <c r="O98" s="8">
        <f t="shared" si="14"/>
        <v>0.34300050705653679</v>
      </c>
      <c r="P98" s="2" t="s">
        <v>25</v>
      </c>
      <c r="Q98" s="2" t="s">
        <v>26</v>
      </c>
      <c r="R98" s="3">
        <v>4250.01</v>
      </c>
      <c r="S98" s="3">
        <f t="shared" si="15"/>
        <v>4733.2</v>
      </c>
      <c r="T98" s="8">
        <f t="shared" si="16"/>
        <v>1.1136914971964771</v>
      </c>
      <c r="U98" s="10">
        <f t="shared" si="17"/>
        <v>0.11369149719647709</v>
      </c>
    </row>
    <row r="99" spans="1:21" x14ac:dyDescent="0.3">
      <c r="A99" s="5">
        <v>45604</v>
      </c>
      <c r="B99" s="2" t="str">
        <f t="shared" si="9"/>
        <v>Nov</v>
      </c>
      <c r="C99" s="2" t="str">
        <f t="shared" si="10"/>
        <v>Q4</v>
      </c>
      <c r="D99" s="2">
        <f t="shared" si="11"/>
        <v>2024</v>
      </c>
      <c r="E99" s="2" t="s">
        <v>32</v>
      </c>
      <c r="F99" s="2" t="s">
        <v>73</v>
      </c>
      <c r="G99" s="2" t="s">
        <v>29</v>
      </c>
      <c r="H99" s="2" t="s">
        <v>23</v>
      </c>
      <c r="I99" s="2" t="s">
        <v>77</v>
      </c>
      <c r="J99" s="2">
        <v>17</v>
      </c>
      <c r="K99" s="3">
        <v>38467.11</v>
      </c>
      <c r="L99" s="3">
        <f t="shared" si="12"/>
        <v>653940.87</v>
      </c>
      <c r="M99" s="3">
        <f>ROUND(L99*0.702,2)</f>
        <v>459066.49</v>
      </c>
      <c r="N99" s="3">
        <f t="shared" si="13"/>
        <v>194874.38</v>
      </c>
      <c r="O99" s="8">
        <f t="shared" si="14"/>
        <v>0.2980000011316008</v>
      </c>
      <c r="P99" s="2" t="s">
        <v>41</v>
      </c>
      <c r="Q99" s="2" t="s">
        <v>26</v>
      </c>
      <c r="R99" s="3">
        <v>586661.56000000006</v>
      </c>
      <c r="S99" s="3">
        <f t="shared" si="15"/>
        <v>653940.87</v>
      </c>
      <c r="T99" s="8">
        <f t="shared" si="16"/>
        <v>1.1146816402970052</v>
      </c>
      <c r="U99" s="10">
        <f t="shared" si="17"/>
        <v>0.1146816402970052</v>
      </c>
    </row>
    <row r="100" spans="1:21" x14ac:dyDescent="0.3">
      <c r="A100" s="5">
        <v>45615</v>
      </c>
      <c r="B100" s="2" t="str">
        <f t="shared" si="9"/>
        <v>Nov</v>
      </c>
      <c r="C100" s="2" t="str">
        <f t="shared" si="10"/>
        <v>Q4</v>
      </c>
      <c r="D100" s="2">
        <f t="shared" si="11"/>
        <v>2024</v>
      </c>
      <c r="E100" s="2" t="s">
        <v>20</v>
      </c>
      <c r="F100" s="2" t="s">
        <v>72</v>
      </c>
      <c r="G100" s="2" t="s">
        <v>22</v>
      </c>
      <c r="H100" s="2" t="s">
        <v>30</v>
      </c>
      <c r="I100" s="2" t="s">
        <v>60</v>
      </c>
      <c r="J100" s="2">
        <v>38</v>
      </c>
      <c r="K100" s="3">
        <v>9444.74</v>
      </c>
      <c r="L100" s="3">
        <f t="shared" si="12"/>
        <v>358900.12</v>
      </c>
      <c r="M100" s="3">
        <f>ROUND(L100*0.775,2)</f>
        <v>278147.59000000003</v>
      </c>
      <c r="N100" s="3">
        <f t="shared" si="13"/>
        <v>80752.52999999997</v>
      </c>
      <c r="O100" s="8">
        <f t="shared" si="14"/>
        <v>0.22500000835887146</v>
      </c>
      <c r="P100" s="2" t="s">
        <v>25</v>
      </c>
      <c r="Q100" s="2" t="s">
        <v>26</v>
      </c>
      <c r="R100" s="3">
        <v>361552.77</v>
      </c>
      <c r="S100" s="3">
        <f t="shared" si="15"/>
        <v>358900.12</v>
      </c>
      <c r="T100" s="8">
        <f t="shared" si="16"/>
        <v>0.99266317334534593</v>
      </c>
      <c r="U100" s="10">
        <f t="shared" si="17"/>
        <v>-7.3368266546540994E-3</v>
      </c>
    </row>
    <row r="101" spans="1:21" x14ac:dyDescent="0.3">
      <c r="A101" s="5">
        <v>45616</v>
      </c>
      <c r="B101" s="2" t="str">
        <f t="shared" si="9"/>
        <v>Nov</v>
      </c>
      <c r="C101" s="2" t="str">
        <f t="shared" si="10"/>
        <v>Q4</v>
      </c>
      <c r="D101" s="2">
        <f t="shared" si="11"/>
        <v>2024</v>
      </c>
      <c r="E101" s="2" t="s">
        <v>20</v>
      </c>
      <c r="F101" s="2" t="s">
        <v>65</v>
      </c>
      <c r="G101" s="2" t="s">
        <v>55</v>
      </c>
      <c r="H101" s="2" t="s">
        <v>39</v>
      </c>
      <c r="I101" s="2" t="s">
        <v>86</v>
      </c>
      <c r="J101" s="2">
        <v>36</v>
      </c>
      <c r="K101" s="3">
        <v>494.3</v>
      </c>
      <c r="L101" s="3">
        <f t="shared" si="12"/>
        <v>17794.8</v>
      </c>
      <c r="M101" s="3">
        <f>ROUND(L101*0.697,2)</f>
        <v>12402.98</v>
      </c>
      <c r="N101" s="3">
        <f t="shared" si="13"/>
        <v>5391.82</v>
      </c>
      <c r="O101" s="8">
        <f t="shared" si="14"/>
        <v>0.30299975273675456</v>
      </c>
      <c r="P101" s="2" t="s">
        <v>41</v>
      </c>
      <c r="Q101" s="2" t="s">
        <v>35</v>
      </c>
      <c r="R101" s="3">
        <v>16096.98</v>
      </c>
      <c r="S101" s="3">
        <f t="shared" si="15"/>
        <v>17794.8</v>
      </c>
      <c r="T101" s="8">
        <f t="shared" si="16"/>
        <v>1.1054744430321712</v>
      </c>
      <c r="U101" s="10">
        <f t="shared" si="17"/>
        <v>0.10547444303217124</v>
      </c>
    </row>
    <row r="102" spans="1:21" x14ac:dyDescent="0.3">
      <c r="A102" s="5">
        <v>45616</v>
      </c>
      <c r="B102" s="2" t="str">
        <f t="shared" si="9"/>
        <v>Nov</v>
      </c>
      <c r="C102" s="2" t="str">
        <f t="shared" si="10"/>
        <v>Q4</v>
      </c>
      <c r="D102" s="2">
        <f t="shared" si="11"/>
        <v>2024</v>
      </c>
      <c r="E102" s="2" t="s">
        <v>27</v>
      </c>
      <c r="F102" s="2" t="s">
        <v>81</v>
      </c>
      <c r="G102" s="2" t="s">
        <v>51</v>
      </c>
      <c r="H102" s="2" t="s">
        <v>23</v>
      </c>
      <c r="I102" s="2" t="s">
        <v>88</v>
      </c>
      <c r="J102" s="2">
        <v>18</v>
      </c>
      <c r="K102" s="3">
        <v>28072.31</v>
      </c>
      <c r="L102" s="3">
        <f t="shared" si="12"/>
        <v>505301.58</v>
      </c>
      <c r="M102" s="3">
        <f>ROUND(L102*0.574,2)</f>
        <v>290043.11</v>
      </c>
      <c r="N102" s="3">
        <f t="shared" si="13"/>
        <v>215258.47000000003</v>
      </c>
      <c r="O102" s="8">
        <f t="shared" si="14"/>
        <v>0.42599999390463023</v>
      </c>
      <c r="P102" s="2" t="s">
        <v>25</v>
      </c>
      <c r="Q102" s="2" t="s">
        <v>35</v>
      </c>
      <c r="R102" s="3">
        <v>442739.77</v>
      </c>
      <c r="S102" s="3">
        <f t="shared" si="15"/>
        <v>505301.58</v>
      </c>
      <c r="T102" s="8">
        <f t="shared" si="16"/>
        <v>1.1413060543442934</v>
      </c>
      <c r="U102" s="10">
        <f t="shared" si="17"/>
        <v>0.14130605434429347</v>
      </c>
    </row>
    <row r="103" spans="1:21" x14ac:dyDescent="0.3">
      <c r="A103" s="5">
        <v>45627</v>
      </c>
      <c r="B103" s="2" t="str">
        <f t="shared" si="9"/>
        <v>Dec</v>
      </c>
      <c r="C103" s="2" t="str">
        <f t="shared" si="10"/>
        <v>Q4</v>
      </c>
      <c r="D103" s="2">
        <f t="shared" si="11"/>
        <v>2024</v>
      </c>
      <c r="E103" s="2" t="s">
        <v>32</v>
      </c>
      <c r="F103" s="2" t="s">
        <v>70</v>
      </c>
      <c r="G103" s="2" t="s">
        <v>34</v>
      </c>
      <c r="H103" s="2" t="s">
        <v>52</v>
      </c>
      <c r="I103" s="2" t="s">
        <v>84</v>
      </c>
      <c r="J103" s="2">
        <v>20</v>
      </c>
      <c r="K103" s="3">
        <v>926.29</v>
      </c>
      <c r="L103" s="3">
        <f t="shared" si="12"/>
        <v>18525.8</v>
      </c>
      <c r="M103" s="3">
        <f>ROUND(L103*0.687,2)</f>
        <v>12727.22</v>
      </c>
      <c r="N103" s="3">
        <f t="shared" si="13"/>
        <v>5798.58</v>
      </c>
      <c r="O103" s="8">
        <f t="shared" si="14"/>
        <v>0.3130002483023675</v>
      </c>
      <c r="P103" s="2" t="s">
        <v>25</v>
      </c>
      <c r="Q103" s="2" t="s">
        <v>35</v>
      </c>
      <c r="R103" s="3">
        <v>18566.45</v>
      </c>
      <c r="S103" s="3">
        <f t="shared" si="15"/>
        <v>18525.8</v>
      </c>
      <c r="T103" s="8">
        <f t="shared" si="16"/>
        <v>0.99781056690966763</v>
      </c>
      <c r="U103" s="10">
        <f t="shared" si="17"/>
        <v>-2.1894330903323711E-3</v>
      </c>
    </row>
    <row r="104" spans="1:21" x14ac:dyDescent="0.3">
      <c r="A104" s="5">
        <v>45630</v>
      </c>
      <c r="B104" s="2" t="str">
        <f t="shared" si="9"/>
        <v>Dec</v>
      </c>
      <c r="C104" s="2" t="str">
        <f t="shared" si="10"/>
        <v>Q4</v>
      </c>
      <c r="D104" s="2">
        <f t="shared" si="11"/>
        <v>2024</v>
      </c>
      <c r="E104" s="2" t="s">
        <v>20</v>
      </c>
      <c r="F104" s="2" t="s">
        <v>65</v>
      </c>
      <c r="G104" s="2" t="s">
        <v>44</v>
      </c>
      <c r="H104" s="2" t="s">
        <v>23</v>
      </c>
      <c r="I104" s="2" t="s">
        <v>64</v>
      </c>
      <c r="J104" s="2">
        <v>13</v>
      </c>
      <c r="K104" s="3">
        <v>44163.62</v>
      </c>
      <c r="L104" s="3">
        <f t="shared" si="12"/>
        <v>574127.06000000006</v>
      </c>
      <c r="M104" s="3">
        <f>ROUND(L104*0.562,2)</f>
        <v>322659.40999999997</v>
      </c>
      <c r="N104" s="3">
        <f t="shared" si="13"/>
        <v>251467.65000000008</v>
      </c>
      <c r="O104" s="8">
        <f t="shared" si="14"/>
        <v>0.43799999602875372</v>
      </c>
      <c r="P104" s="2" t="s">
        <v>41</v>
      </c>
      <c r="Q104" s="2" t="s">
        <v>26</v>
      </c>
      <c r="R104" s="3">
        <v>552970.69999999995</v>
      </c>
      <c r="S104" s="3">
        <f t="shared" si="15"/>
        <v>574127.06000000006</v>
      </c>
      <c r="T104" s="8">
        <f t="shared" si="16"/>
        <v>1.0382594593167416</v>
      </c>
      <c r="U104" s="10">
        <f t="shared" si="17"/>
        <v>3.8259459316741566E-2</v>
      </c>
    </row>
    <row r="105" spans="1:21" x14ac:dyDescent="0.3">
      <c r="A105" s="5">
        <v>45634</v>
      </c>
      <c r="B105" s="2" t="str">
        <f t="shared" si="9"/>
        <v>Dec</v>
      </c>
      <c r="C105" s="2" t="str">
        <f t="shared" si="10"/>
        <v>Q4</v>
      </c>
      <c r="D105" s="2">
        <f t="shared" si="11"/>
        <v>2024</v>
      </c>
      <c r="E105" s="2" t="s">
        <v>36</v>
      </c>
      <c r="F105" s="2" t="s">
        <v>79</v>
      </c>
      <c r="G105" s="2" t="s">
        <v>68</v>
      </c>
      <c r="H105" s="2" t="s">
        <v>45</v>
      </c>
      <c r="I105" s="2" t="s">
        <v>89</v>
      </c>
      <c r="J105" s="2">
        <v>13</v>
      </c>
      <c r="K105" s="3">
        <v>3336.51</v>
      </c>
      <c r="L105" s="3">
        <f t="shared" si="12"/>
        <v>43374.630000000005</v>
      </c>
      <c r="M105" s="3">
        <f>ROUND(L105*0.66,2)</f>
        <v>28627.26</v>
      </c>
      <c r="N105" s="3">
        <f t="shared" si="13"/>
        <v>14747.370000000006</v>
      </c>
      <c r="O105" s="8">
        <f t="shared" si="14"/>
        <v>0.33999990316920292</v>
      </c>
      <c r="P105" s="2" t="s">
        <v>25</v>
      </c>
      <c r="Q105" s="2" t="s">
        <v>35</v>
      </c>
      <c r="R105" s="3">
        <v>39179.919999999998</v>
      </c>
      <c r="S105" s="3">
        <f t="shared" si="15"/>
        <v>43374.630000000005</v>
      </c>
      <c r="T105" s="8">
        <f t="shared" si="16"/>
        <v>1.1070627505109762</v>
      </c>
      <c r="U105" s="10">
        <f t="shared" si="17"/>
        <v>0.1070627505109762</v>
      </c>
    </row>
    <row r="106" spans="1:21" x14ac:dyDescent="0.3">
      <c r="A106" s="5">
        <v>45644</v>
      </c>
      <c r="B106" s="2" t="str">
        <f t="shared" si="9"/>
        <v>Dec</v>
      </c>
      <c r="C106" s="2" t="str">
        <f t="shared" si="10"/>
        <v>Q4</v>
      </c>
      <c r="D106" s="2">
        <f t="shared" si="11"/>
        <v>2024</v>
      </c>
      <c r="E106" s="2" t="s">
        <v>36</v>
      </c>
      <c r="F106" s="2" t="s">
        <v>37</v>
      </c>
      <c r="G106" s="2" t="s">
        <v>48</v>
      </c>
      <c r="H106" s="2" t="s">
        <v>52</v>
      </c>
      <c r="I106" s="2" t="s">
        <v>71</v>
      </c>
      <c r="J106" s="2">
        <v>25</v>
      </c>
      <c r="K106" s="3">
        <v>306.68</v>
      </c>
      <c r="L106" s="3">
        <f t="shared" si="12"/>
        <v>7667</v>
      </c>
      <c r="M106" s="3">
        <f>ROUND(L106*0.592,2)</f>
        <v>4538.8599999999997</v>
      </c>
      <c r="N106" s="3">
        <f t="shared" si="13"/>
        <v>3128.1400000000003</v>
      </c>
      <c r="O106" s="8">
        <f t="shared" si="14"/>
        <v>0.40800052171644713</v>
      </c>
      <c r="P106" s="2" t="s">
        <v>41</v>
      </c>
      <c r="Q106" s="2" t="s">
        <v>26</v>
      </c>
      <c r="R106" s="3">
        <v>7754.24</v>
      </c>
      <c r="S106" s="3">
        <f t="shared" si="15"/>
        <v>7667</v>
      </c>
      <c r="T106" s="8">
        <f t="shared" si="16"/>
        <v>0.98874938098382303</v>
      </c>
      <c r="U106" s="10">
        <f t="shared" si="17"/>
        <v>-1.1250619016176928E-2</v>
      </c>
    </row>
    <row r="107" spans="1:21" x14ac:dyDescent="0.3">
      <c r="A107" s="5">
        <v>45645</v>
      </c>
      <c r="B107" s="2" t="str">
        <f t="shared" si="9"/>
        <v>Dec</v>
      </c>
      <c r="C107" s="2" t="str">
        <f t="shared" si="10"/>
        <v>Q4</v>
      </c>
      <c r="D107" s="2">
        <f t="shared" si="11"/>
        <v>2024</v>
      </c>
      <c r="E107" s="2" t="s">
        <v>42</v>
      </c>
      <c r="F107" s="2" t="s">
        <v>47</v>
      </c>
      <c r="G107" s="2" t="s">
        <v>38</v>
      </c>
      <c r="H107" s="2" t="s">
        <v>45</v>
      </c>
      <c r="I107" s="2" t="s">
        <v>46</v>
      </c>
      <c r="J107" s="2">
        <v>29</v>
      </c>
      <c r="K107" s="3">
        <v>1473.07</v>
      </c>
      <c r="L107" s="3">
        <f t="shared" si="12"/>
        <v>42719.03</v>
      </c>
      <c r="M107" s="3">
        <f>ROUND(L107*0.701,2)</f>
        <v>29946.04</v>
      </c>
      <c r="N107" s="3">
        <f t="shared" si="13"/>
        <v>12772.989999999998</v>
      </c>
      <c r="O107" s="8">
        <f t="shared" si="14"/>
        <v>0.29900000070226312</v>
      </c>
      <c r="P107" s="2" t="s">
        <v>41</v>
      </c>
      <c r="Q107" s="2" t="s">
        <v>26</v>
      </c>
      <c r="R107" s="3">
        <v>45888.85</v>
      </c>
      <c r="S107" s="3">
        <f t="shared" si="15"/>
        <v>42719.03</v>
      </c>
      <c r="T107" s="8">
        <f t="shared" si="16"/>
        <v>0.9309239608314438</v>
      </c>
      <c r="U107" s="10">
        <f t="shared" si="17"/>
        <v>-6.9076039168556189E-2</v>
      </c>
    </row>
    <row r="108" spans="1:21" x14ac:dyDescent="0.3">
      <c r="A108" s="5">
        <v>45662</v>
      </c>
      <c r="B108" s="2" t="str">
        <f t="shared" si="9"/>
        <v>Jan</v>
      </c>
      <c r="C108" s="2" t="str">
        <f t="shared" si="10"/>
        <v>Q1</v>
      </c>
      <c r="D108" s="2">
        <f t="shared" si="11"/>
        <v>2025</v>
      </c>
      <c r="E108" s="2" t="s">
        <v>32</v>
      </c>
      <c r="F108" s="2" t="s">
        <v>74</v>
      </c>
      <c r="G108" s="2" t="s">
        <v>51</v>
      </c>
      <c r="H108" s="2" t="s">
        <v>30</v>
      </c>
      <c r="I108" s="2" t="s">
        <v>31</v>
      </c>
      <c r="J108" s="2">
        <v>32</v>
      </c>
      <c r="K108" s="3">
        <v>8589.83</v>
      </c>
      <c r="L108" s="3">
        <f t="shared" si="12"/>
        <v>274874.56</v>
      </c>
      <c r="M108" s="3">
        <f>ROUND(L108*0.556,2)</f>
        <v>152830.26</v>
      </c>
      <c r="N108" s="3">
        <f t="shared" si="13"/>
        <v>122044.29999999999</v>
      </c>
      <c r="O108" s="8">
        <f t="shared" si="14"/>
        <v>0.44399998311957278</v>
      </c>
      <c r="P108" s="2" t="s">
        <v>25</v>
      </c>
      <c r="Q108" s="2" t="s">
        <v>35</v>
      </c>
      <c r="R108" s="3">
        <v>279329.3</v>
      </c>
      <c r="S108" s="3">
        <f t="shared" si="15"/>
        <v>274874.56</v>
      </c>
      <c r="T108" s="8">
        <f t="shared" si="16"/>
        <v>0.98405201316152657</v>
      </c>
      <c r="U108" s="10">
        <f t="shared" si="17"/>
        <v>-1.594798683847341E-2</v>
      </c>
    </row>
    <row r="109" spans="1:21" x14ac:dyDescent="0.3">
      <c r="A109" s="5">
        <v>45668</v>
      </c>
      <c r="B109" s="2" t="str">
        <f t="shared" si="9"/>
        <v>Jan</v>
      </c>
      <c r="C109" s="2" t="str">
        <f t="shared" si="10"/>
        <v>Q1</v>
      </c>
      <c r="D109" s="2">
        <f t="shared" si="11"/>
        <v>2025</v>
      </c>
      <c r="E109" s="2" t="s">
        <v>32</v>
      </c>
      <c r="F109" s="2" t="s">
        <v>33</v>
      </c>
      <c r="G109" s="2" t="s">
        <v>55</v>
      </c>
      <c r="H109" s="2" t="s">
        <v>45</v>
      </c>
      <c r="I109" s="2" t="s">
        <v>75</v>
      </c>
      <c r="J109" s="2">
        <v>27</v>
      </c>
      <c r="K109" s="3">
        <v>1958.51</v>
      </c>
      <c r="L109" s="3">
        <f t="shared" si="12"/>
        <v>52879.77</v>
      </c>
      <c r="M109" s="3">
        <f>ROUND(L109*0.772,2)</f>
        <v>40823.18</v>
      </c>
      <c r="N109" s="3">
        <f t="shared" si="13"/>
        <v>12056.589999999997</v>
      </c>
      <c r="O109" s="8">
        <f t="shared" si="14"/>
        <v>0.22800004614240943</v>
      </c>
      <c r="P109" s="2" t="s">
        <v>41</v>
      </c>
      <c r="Q109" s="2" t="s">
        <v>35</v>
      </c>
      <c r="R109" s="3">
        <v>57906.91</v>
      </c>
      <c r="S109" s="3">
        <f t="shared" si="15"/>
        <v>52879.77</v>
      </c>
      <c r="T109" s="8">
        <f t="shared" si="16"/>
        <v>0.91318583568005951</v>
      </c>
      <c r="U109" s="10">
        <f t="shared" si="17"/>
        <v>-8.6814164319940518E-2</v>
      </c>
    </row>
    <row r="110" spans="1:21" x14ac:dyDescent="0.3">
      <c r="A110" s="5">
        <v>45669</v>
      </c>
      <c r="B110" s="2" t="str">
        <f t="shared" si="9"/>
        <v>Jan</v>
      </c>
      <c r="C110" s="2" t="str">
        <f t="shared" si="10"/>
        <v>Q1</v>
      </c>
      <c r="D110" s="2">
        <f t="shared" si="11"/>
        <v>2025</v>
      </c>
      <c r="E110" s="2" t="s">
        <v>42</v>
      </c>
      <c r="F110" s="2" t="s">
        <v>83</v>
      </c>
      <c r="G110" s="2" t="s">
        <v>34</v>
      </c>
      <c r="H110" s="2" t="s">
        <v>45</v>
      </c>
      <c r="I110" s="2" t="s">
        <v>46</v>
      </c>
      <c r="J110" s="2">
        <v>20</v>
      </c>
      <c r="K110" s="3">
        <v>2193.5</v>
      </c>
      <c r="L110" s="3">
        <f t="shared" si="12"/>
        <v>43870</v>
      </c>
      <c r="M110" s="3">
        <f>ROUND(L110*0.682,2)</f>
        <v>29919.34</v>
      </c>
      <c r="N110" s="3">
        <f t="shared" si="13"/>
        <v>13950.66</v>
      </c>
      <c r="O110" s="8">
        <f t="shared" si="14"/>
        <v>0.318</v>
      </c>
      <c r="P110" s="2" t="s">
        <v>25</v>
      </c>
      <c r="Q110" s="2" t="s">
        <v>35</v>
      </c>
      <c r="R110" s="3">
        <v>49240.03</v>
      </c>
      <c r="S110" s="3">
        <f t="shared" si="15"/>
        <v>43870</v>
      </c>
      <c r="T110" s="8">
        <f t="shared" si="16"/>
        <v>0.89094178049850903</v>
      </c>
      <c r="U110" s="10">
        <f t="shared" si="17"/>
        <v>-0.10905821950149094</v>
      </c>
    </row>
    <row r="111" spans="1:21" x14ac:dyDescent="0.3">
      <c r="A111" s="5">
        <v>45681</v>
      </c>
      <c r="B111" s="2" t="str">
        <f t="shared" si="9"/>
        <v>Jan</v>
      </c>
      <c r="C111" s="2" t="str">
        <f t="shared" si="10"/>
        <v>Q1</v>
      </c>
      <c r="D111" s="2">
        <f t="shared" si="11"/>
        <v>2025</v>
      </c>
      <c r="E111" s="2" t="s">
        <v>20</v>
      </c>
      <c r="F111" s="2" t="s">
        <v>54</v>
      </c>
      <c r="G111" s="2" t="s">
        <v>44</v>
      </c>
      <c r="H111" s="2" t="s">
        <v>39</v>
      </c>
      <c r="I111" s="2" t="s">
        <v>86</v>
      </c>
      <c r="J111" s="2">
        <v>30</v>
      </c>
      <c r="K111" s="3">
        <v>2056.1999999999998</v>
      </c>
      <c r="L111" s="3">
        <f t="shared" si="12"/>
        <v>61685.999999999993</v>
      </c>
      <c r="M111" s="3">
        <f>ROUND(L111*0.673,2)</f>
        <v>41514.68</v>
      </c>
      <c r="N111" s="3">
        <f t="shared" si="13"/>
        <v>20171.319999999992</v>
      </c>
      <c r="O111" s="8">
        <f t="shared" si="14"/>
        <v>0.32699996757773231</v>
      </c>
      <c r="P111" s="2" t="s">
        <v>25</v>
      </c>
      <c r="Q111" s="2" t="s">
        <v>26</v>
      </c>
      <c r="R111" s="3">
        <v>70441.39</v>
      </c>
      <c r="S111" s="3">
        <f t="shared" si="15"/>
        <v>61685.999999999993</v>
      </c>
      <c r="T111" s="8">
        <f t="shared" si="16"/>
        <v>0.87570674002883808</v>
      </c>
      <c r="U111" s="10">
        <f t="shared" si="17"/>
        <v>-0.12429325997116193</v>
      </c>
    </row>
    <row r="112" spans="1:21" x14ac:dyDescent="0.3">
      <c r="A112" s="5">
        <v>45681</v>
      </c>
      <c r="B112" s="2" t="str">
        <f t="shared" si="9"/>
        <v>Jan</v>
      </c>
      <c r="C112" s="2" t="str">
        <f t="shared" si="10"/>
        <v>Q1</v>
      </c>
      <c r="D112" s="2">
        <f t="shared" si="11"/>
        <v>2025</v>
      </c>
      <c r="E112" s="2" t="s">
        <v>27</v>
      </c>
      <c r="F112" s="2" t="s">
        <v>59</v>
      </c>
      <c r="G112" s="2" t="s">
        <v>85</v>
      </c>
      <c r="H112" s="2" t="s">
        <v>45</v>
      </c>
      <c r="I112" s="2" t="s">
        <v>80</v>
      </c>
      <c r="J112" s="2">
        <v>14</v>
      </c>
      <c r="K112" s="3">
        <v>1546.93</v>
      </c>
      <c r="L112" s="3">
        <f t="shared" si="12"/>
        <v>21657.02</v>
      </c>
      <c r="M112" s="3">
        <f>ROUND(L112*0.704,2)</f>
        <v>15246.54</v>
      </c>
      <c r="N112" s="3">
        <f t="shared" si="13"/>
        <v>6410.48</v>
      </c>
      <c r="O112" s="8">
        <f t="shared" si="14"/>
        <v>0.29600009604276117</v>
      </c>
      <c r="P112" s="2" t="s">
        <v>41</v>
      </c>
      <c r="Q112" s="2" t="s">
        <v>26</v>
      </c>
      <c r="R112" s="3">
        <v>22968.27</v>
      </c>
      <c r="S112" s="3">
        <f t="shared" si="15"/>
        <v>21657.02</v>
      </c>
      <c r="T112" s="8">
        <f t="shared" si="16"/>
        <v>0.9429103715691256</v>
      </c>
      <c r="U112" s="10">
        <f t="shared" si="17"/>
        <v>-5.7089628430874416E-2</v>
      </c>
    </row>
    <row r="113" spans="1:21" x14ac:dyDescent="0.3">
      <c r="A113" s="5">
        <v>45682</v>
      </c>
      <c r="B113" s="2" t="str">
        <f t="shared" si="9"/>
        <v>Jan</v>
      </c>
      <c r="C113" s="2" t="str">
        <f t="shared" si="10"/>
        <v>Q1</v>
      </c>
      <c r="D113" s="2">
        <f t="shared" si="11"/>
        <v>2025</v>
      </c>
      <c r="E113" s="2" t="s">
        <v>32</v>
      </c>
      <c r="F113" s="2" t="s">
        <v>33</v>
      </c>
      <c r="G113" s="2" t="s">
        <v>57</v>
      </c>
      <c r="H113" s="2" t="s">
        <v>45</v>
      </c>
      <c r="I113" s="2" t="s">
        <v>89</v>
      </c>
      <c r="J113" s="2">
        <v>1</v>
      </c>
      <c r="K113" s="3">
        <v>3068.28</v>
      </c>
      <c r="L113" s="3">
        <f t="shared" si="12"/>
        <v>3068.28</v>
      </c>
      <c r="M113" s="3">
        <f>ROUND(L113*0.706,2)</f>
        <v>2166.21</v>
      </c>
      <c r="N113" s="3">
        <f t="shared" si="13"/>
        <v>902.07000000000016</v>
      </c>
      <c r="O113" s="8">
        <f t="shared" si="14"/>
        <v>0.29399859204505457</v>
      </c>
      <c r="P113" s="2" t="s">
        <v>25</v>
      </c>
      <c r="Q113" s="2" t="s">
        <v>35</v>
      </c>
      <c r="R113" s="3">
        <v>2713.48</v>
      </c>
      <c r="S113" s="3">
        <f t="shared" si="15"/>
        <v>3068.28</v>
      </c>
      <c r="T113" s="8">
        <f t="shared" si="16"/>
        <v>1.1307546029452955</v>
      </c>
      <c r="U113" s="10">
        <f t="shared" si="17"/>
        <v>0.1307546029452954</v>
      </c>
    </row>
    <row r="114" spans="1:21" x14ac:dyDescent="0.3">
      <c r="A114" s="5">
        <v>45682</v>
      </c>
      <c r="B114" s="2" t="str">
        <f t="shared" si="9"/>
        <v>Jan</v>
      </c>
      <c r="C114" s="2" t="str">
        <f t="shared" si="10"/>
        <v>Q1</v>
      </c>
      <c r="D114" s="2">
        <f t="shared" si="11"/>
        <v>2025</v>
      </c>
      <c r="E114" s="2" t="s">
        <v>32</v>
      </c>
      <c r="F114" s="2" t="s">
        <v>70</v>
      </c>
      <c r="G114" s="2" t="s">
        <v>55</v>
      </c>
      <c r="H114" s="2" t="s">
        <v>39</v>
      </c>
      <c r="I114" s="2" t="s">
        <v>62</v>
      </c>
      <c r="J114" s="2">
        <v>45</v>
      </c>
      <c r="K114" s="3">
        <v>1188.8900000000001</v>
      </c>
      <c r="L114" s="3">
        <f t="shared" si="12"/>
        <v>53500.05</v>
      </c>
      <c r="M114" s="3">
        <f>ROUND(L114*0.576,2)</f>
        <v>30816.03</v>
      </c>
      <c r="N114" s="3">
        <f t="shared" si="13"/>
        <v>22684.020000000004</v>
      </c>
      <c r="O114" s="8">
        <f t="shared" si="14"/>
        <v>0.42399997757011448</v>
      </c>
      <c r="P114" s="2" t="s">
        <v>41</v>
      </c>
      <c r="Q114" s="2" t="s">
        <v>35</v>
      </c>
      <c r="R114" s="3">
        <v>55983.199999999997</v>
      </c>
      <c r="S114" s="3">
        <f t="shared" si="15"/>
        <v>53500.05</v>
      </c>
      <c r="T114" s="8">
        <f t="shared" si="16"/>
        <v>0.95564472913302567</v>
      </c>
      <c r="U114" s="10">
        <f t="shared" si="17"/>
        <v>-4.4355270866974279E-2</v>
      </c>
    </row>
    <row r="115" spans="1:21" x14ac:dyDescent="0.3">
      <c r="A115" s="5">
        <v>45683</v>
      </c>
      <c r="B115" s="2" t="str">
        <f t="shared" si="9"/>
        <v>Jan</v>
      </c>
      <c r="C115" s="2" t="str">
        <f t="shared" si="10"/>
        <v>Q1</v>
      </c>
      <c r="D115" s="2">
        <f t="shared" si="11"/>
        <v>2025</v>
      </c>
      <c r="E115" s="2" t="s">
        <v>36</v>
      </c>
      <c r="F115" s="2" t="s">
        <v>76</v>
      </c>
      <c r="G115" s="2" t="s">
        <v>66</v>
      </c>
      <c r="H115" s="2" t="s">
        <v>23</v>
      </c>
      <c r="I115" s="2" t="s">
        <v>64</v>
      </c>
      <c r="J115" s="2">
        <v>23</v>
      </c>
      <c r="K115" s="3">
        <v>10146.91</v>
      </c>
      <c r="L115" s="3">
        <f t="shared" si="12"/>
        <v>233378.93</v>
      </c>
      <c r="M115" s="3">
        <f>ROUND(L115*0.577,2)</f>
        <v>134659.64000000001</v>
      </c>
      <c r="N115" s="3">
        <f t="shared" si="13"/>
        <v>98719.289999999979</v>
      </c>
      <c r="O115" s="8">
        <f t="shared" si="14"/>
        <v>0.42300001118352881</v>
      </c>
      <c r="P115" s="2" t="s">
        <v>25</v>
      </c>
      <c r="Q115" s="2" t="s">
        <v>26</v>
      </c>
      <c r="R115" s="3">
        <v>267884.95</v>
      </c>
      <c r="S115" s="3">
        <f t="shared" si="15"/>
        <v>233378.93</v>
      </c>
      <c r="T115" s="8">
        <f t="shared" si="16"/>
        <v>0.87119089743563416</v>
      </c>
      <c r="U115" s="10">
        <f t="shared" si="17"/>
        <v>-0.12880910256436584</v>
      </c>
    </row>
    <row r="116" spans="1:21" x14ac:dyDescent="0.3">
      <c r="A116" s="5">
        <v>45686</v>
      </c>
      <c r="B116" s="2" t="str">
        <f t="shared" si="9"/>
        <v>Jan</v>
      </c>
      <c r="C116" s="2" t="str">
        <f t="shared" si="10"/>
        <v>Q1</v>
      </c>
      <c r="D116" s="2">
        <f t="shared" si="11"/>
        <v>2025</v>
      </c>
      <c r="E116" s="2" t="s">
        <v>32</v>
      </c>
      <c r="F116" s="2" t="s">
        <v>74</v>
      </c>
      <c r="G116" s="2" t="s">
        <v>68</v>
      </c>
      <c r="H116" s="2" t="s">
        <v>23</v>
      </c>
      <c r="I116" s="2" t="s">
        <v>90</v>
      </c>
      <c r="J116" s="2">
        <v>35</v>
      </c>
      <c r="K116" s="3">
        <v>2597.25</v>
      </c>
      <c r="L116" s="3">
        <f t="shared" si="12"/>
        <v>90903.75</v>
      </c>
      <c r="M116" s="3">
        <f>ROUND(L116*0.708,2)</f>
        <v>64359.86</v>
      </c>
      <c r="N116" s="3">
        <f t="shared" si="13"/>
        <v>26543.89</v>
      </c>
      <c r="O116" s="8">
        <f t="shared" si="14"/>
        <v>0.29199994499676857</v>
      </c>
      <c r="P116" s="2" t="s">
        <v>41</v>
      </c>
      <c r="Q116" s="2" t="s">
        <v>35</v>
      </c>
      <c r="R116" s="3">
        <v>102910.22</v>
      </c>
      <c r="S116" s="3">
        <f t="shared" si="15"/>
        <v>90903.75</v>
      </c>
      <c r="T116" s="8">
        <f t="shared" si="16"/>
        <v>0.88333063518861388</v>
      </c>
      <c r="U116" s="10">
        <f t="shared" si="17"/>
        <v>-0.11666936481138609</v>
      </c>
    </row>
    <row r="117" spans="1:21" x14ac:dyDescent="0.3">
      <c r="A117" s="5">
        <v>45690</v>
      </c>
      <c r="B117" s="2" t="str">
        <f t="shared" si="9"/>
        <v>Feb</v>
      </c>
      <c r="C117" s="2" t="str">
        <f t="shared" si="10"/>
        <v>Q1</v>
      </c>
      <c r="D117" s="2">
        <f t="shared" si="11"/>
        <v>2025</v>
      </c>
      <c r="E117" s="2" t="s">
        <v>32</v>
      </c>
      <c r="F117" s="2" t="s">
        <v>73</v>
      </c>
      <c r="G117" s="2" t="s">
        <v>29</v>
      </c>
      <c r="H117" s="2" t="s">
        <v>52</v>
      </c>
      <c r="I117" s="2" t="s">
        <v>71</v>
      </c>
      <c r="J117" s="2">
        <v>23</v>
      </c>
      <c r="K117" s="3">
        <v>156.19</v>
      </c>
      <c r="L117" s="3">
        <f t="shared" si="12"/>
        <v>3592.37</v>
      </c>
      <c r="M117" s="3">
        <f>ROUND(L117*0.619,2)</f>
        <v>2223.6799999999998</v>
      </c>
      <c r="N117" s="3">
        <f t="shared" si="13"/>
        <v>1368.69</v>
      </c>
      <c r="O117" s="8">
        <f t="shared" si="14"/>
        <v>0.38099917324774457</v>
      </c>
      <c r="P117" s="2" t="s">
        <v>25</v>
      </c>
      <c r="Q117" s="2" t="s">
        <v>26</v>
      </c>
      <c r="R117" s="3">
        <v>3473.81</v>
      </c>
      <c r="S117" s="3">
        <f t="shared" si="15"/>
        <v>3592.37</v>
      </c>
      <c r="T117" s="8">
        <f t="shared" si="16"/>
        <v>1.0341296731830469</v>
      </c>
      <c r="U117" s="10">
        <f t="shared" si="17"/>
        <v>3.4129673183046841E-2</v>
      </c>
    </row>
    <row r="118" spans="1:21" x14ac:dyDescent="0.3">
      <c r="A118" s="5">
        <v>45698</v>
      </c>
      <c r="B118" s="2" t="str">
        <f t="shared" si="9"/>
        <v>Feb</v>
      </c>
      <c r="C118" s="2" t="str">
        <f t="shared" si="10"/>
        <v>Q1</v>
      </c>
      <c r="D118" s="2">
        <f t="shared" si="11"/>
        <v>2025</v>
      </c>
      <c r="E118" s="2" t="s">
        <v>20</v>
      </c>
      <c r="F118" s="2" t="s">
        <v>65</v>
      </c>
      <c r="G118" s="2" t="s">
        <v>38</v>
      </c>
      <c r="H118" s="2" t="s">
        <v>52</v>
      </c>
      <c r="I118" s="2" t="s">
        <v>53</v>
      </c>
      <c r="J118" s="2">
        <v>37</v>
      </c>
      <c r="K118" s="3">
        <v>1055.22</v>
      </c>
      <c r="L118" s="3">
        <f t="shared" si="12"/>
        <v>39043.14</v>
      </c>
      <c r="M118" s="3">
        <f>ROUND(L118*0.649,2)</f>
        <v>25339</v>
      </c>
      <c r="N118" s="3">
        <f t="shared" si="13"/>
        <v>13704.14</v>
      </c>
      <c r="O118" s="8">
        <f t="shared" si="14"/>
        <v>0.35099994518883471</v>
      </c>
      <c r="P118" s="2" t="s">
        <v>25</v>
      </c>
      <c r="Q118" s="2" t="s">
        <v>35</v>
      </c>
      <c r="R118" s="3">
        <v>37923.65</v>
      </c>
      <c r="S118" s="3">
        <f t="shared" si="15"/>
        <v>39043.14</v>
      </c>
      <c r="T118" s="8">
        <f t="shared" si="16"/>
        <v>1.0295195741971039</v>
      </c>
      <c r="U118" s="10">
        <f t="shared" si="17"/>
        <v>2.9519574197103864E-2</v>
      </c>
    </row>
    <row r="119" spans="1:21" x14ac:dyDescent="0.3">
      <c r="A119" s="5">
        <v>45698</v>
      </c>
      <c r="B119" s="2" t="str">
        <f t="shared" si="9"/>
        <v>Feb</v>
      </c>
      <c r="C119" s="2" t="str">
        <f t="shared" si="10"/>
        <v>Q1</v>
      </c>
      <c r="D119" s="2">
        <f t="shared" si="11"/>
        <v>2025</v>
      </c>
      <c r="E119" s="2" t="s">
        <v>20</v>
      </c>
      <c r="F119" s="2" t="s">
        <v>54</v>
      </c>
      <c r="G119" s="2" t="s">
        <v>66</v>
      </c>
      <c r="H119" s="2" t="s">
        <v>52</v>
      </c>
      <c r="I119" s="2" t="s">
        <v>84</v>
      </c>
      <c r="J119" s="2">
        <v>45</v>
      </c>
      <c r="K119" s="3">
        <v>405.37</v>
      </c>
      <c r="L119" s="3">
        <f t="shared" si="12"/>
        <v>18241.650000000001</v>
      </c>
      <c r="M119" s="3">
        <f>ROUND(L119*0.602,2)</f>
        <v>10981.47</v>
      </c>
      <c r="N119" s="3">
        <f t="shared" si="13"/>
        <v>7260.1800000000021</v>
      </c>
      <c r="O119" s="8">
        <f t="shared" si="14"/>
        <v>0.39800018090468797</v>
      </c>
      <c r="P119" s="2" t="s">
        <v>41</v>
      </c>
      <c r="Q119" s="2" t="s">
        <v>26</v>
      </c>
      <c r="R119" s="3">
        <v>19248.82</v>
      </c>
      <c r="S119" s="3">
        <f t="shared" si="15"/>
        <v>18241.650000000001</v>
      </c>
      <c r="T119" s="8">
        <f t="shared" si="16"/>
        <v>0.9476762731429772</v>
      </c>
      <c r="U119" s="10">
        <f t="shared" si="17"/>
        <v>-5.2323726857022836E-2</v>
      </c>
    </row>
    <row r="120" spans="1:21" x14ac:dyDescent="0.3">
      <c r="A120" s="5">
        <v>45699</v>
      </c>
      <c r="B120" s="2" t="str">
        <f t="shared" si="9"/>
        <v>Feb</v>
      </c>
      <c r="C120" s="2" t="str">
        <f t="shared" si="10"/>
        <v>Q1</v>
      </c>
      <c r="D120" s="2">
        <f t="shared" si="11"/>
        <v>2025</v>
      </c>
      <c r="E120" s="2" t="s">
        <v>27</v>
      </c>
      <c r="F120" s="2" t="s">
        <v>78</v>
      </c>
      <c r="G120" s="2" t="s">
        <v>51</v>
      </c>
      <c r="H120" s="2" t="s">
        <v>52</v>
      </c>
      <c r="I120" s="2" t="s">
        <v>53</v>
      </c>
      <c r="J120" s="2">
        <v>42</v>
      </c>
      <c r="K120" s="3">
        <v>845.91</v>
      </c>
      <c r="L120" s="3">
        <f t="shared" si="12"/>
        <v>35528.22</v>
      </c>
      <c r="M120" s="3">
        <f>ROUND(L120*0.697,2)</f>
        <v>24763.17</v>
      </c>
      <c r="N120" s="3">
        <f t="shared" si="13"/>
        <v>10765.050000000003</v>
      </c>
      <c r="O120" s="8">
        <f t="shared" si="14"/>
        <v>0.30299998142321799</v>
      </c>
      <c r="P120" s="2" t="s">
        <v>41</v>
      </c>
      <c r="Q120" s="2" t="s">
        <v>35</v>
      </c>
      <c r="R120" s="3">
        <v>40549.35</v>
      </c>
      <c r="S120" s="3">
        <f t="shared" si="15"/>
        <v>35528.22</v>
      </c>
      <c r="T120" s="8">
        <f t="shared" si="16"/>
        <v>0.87617236774448914</v>
      </c>
      <c r="U120" s="10">
        <f t="shared" si="17"/>
        <v>-0.12382763225551081</v>
      </c>
    </row>
    <row r="121" spans="1:21" x14ac:dyDescent="0.3">
      <c r="A121" s="5">
        <v>45700</v>
      </c>
      <c r="B121" s="2" t="str">
        <f t="shared" si="9"/>
        <v>Feb</v>
      </c>
      <c r="C121" s="2" t="str">
        <f t="shared" si="10"/>
        <v>Q1</v>
      </c>
      <c r="D121" s="2">
        <f t="shared" si="11"/>
        <v>2025</v>
      </c>
      <c r="E121" s="2" t="s">
        <v>27</v>
      </c>
      <c r="F121" s="2" t="s">
        <v>59</v>
      </c>
      <c r="G121" s="2" t="s">
        <v>57</v>
      </c>
      <c r="H121" s="2" t="s">
        <v>52</v>
      </c>
      <c r="I121" s="2" t="s">
        <v>53</v>
      </c>
      <c r="J121" s="2">
        <v>5</v>
      </c>
      <c r="K121" s="3">
        <v>410.3</v>
      </c>
      <c r="L121" s="3">
        <f t="shared" si="12"/>
        <v>2051.5</v>
      </c>
      <c r="M121" s="3">
        <f>ROUND(L121*0.628,2)</f>
        <v>1288.3399999999999</v>
      </c>
      <c r="N121" s="3">
        <f t="shared" si="13"/>
        <v>763.16000000000008</v>
      </c>
      <c r="O121" s="8">
        <f t="shared" si="14"/>
        <v>0.37200097489641731</v>
      </c>
      <c r="P121" s="2" t="s">
        <v>41</v>
      </c>
      <c r="Q121" s="2" t="s">
        <v>26</v>
      </c>
      <c r="R121" s="3">
        <v>2105.85</v>
      </c>
      <c r="S121" s="3">
        <f t="shared" si="15"/>
        <v>2051.5</v>
      </c>
      <c r="T121" s="8">
        <f t="shared" si="16"/>
        <v>0.97419094427428354</v>
      </c>
      <c r="U121" s="10">
        <f t="shared" si="17"/>
        <v>-2.5809055725716415E-2</v>
      </c>
    </row>
    <row r="122" spans="1:21" x14ac:dyDescent="0.3">
      <c r="A122" s="5">
        <v>45700</v>
      </c>
      <c r="B122" s="2" t="str">
        <f t="shared" si="9"/>
        <v>Feb</v>
      </c>
      <c r="C122" s="2" t="str">
        <f t="shared" si="10"/>
        <v>Q1</v>
      </c>
      <c r="D122" s="2">
        <f t="shared" si="11"/>
        <v>2025</v>
      </c>
      <c r="E122" s="2" t="s">
        <v>42</v>
      </c>
      <c r="F122" s="2" t="s">
        <v>47</v>
      </c>
      <c r="G122" s="2" t="s">
        <v>57</v>
      </c>
      <c r="H122" s="2" t="s">
        <v>39</v>
      </c>
      <c r="I122" s="2" t="s">
        <v>40</v>
      </c>
      <c r="J122" s="2">
        <v>30</v>
      </c>
      <c r="K122" s="3">
        <v>933.29</v>
      </c>
      <c r="L122" s="3">
        <f t="shared" si="12"/>
        <v>27998.699999999997</v>
      </c>
      <c r="M122" s="3">
        <f>ROUND(L122*0.578,2)</f>
        <v>16183.25</v>
      </c>
      <c r="N122" s="3">
        <f t="shared" si="13"/>
        <v>11815.449999999997</v>
      </c>
      <c r="O122" s="8">
        <f t="shared" si="14"/>
        <v>0.42199994999767843</v>
      </c>
      <c r="P122" s="2" t="s">
        <v>41</v>
      </c>
      <c r="Q122" s="2" t="s">
        <v>26</v>
      </c>
      <c r="R122" s="3">
        <v>27575.33</v>
      </c>
      <c r="S122" s="3">
        <f t="shared" si="15"/>
        <v>27998.699999999997</v>
      </c>
      <c r="T122" s="8">
        <f t="shared" si="16"/>
        <v>1.0153532160811853</v>
      </c>
      <c r="U122" s="10">
        <f t="shared" si="17"/>
        <v>1.5353216081185441E-2</v>
      </c>
    </row>
    <row r="123" spans="1:21" x14ac:dyDescent="0.3">
      <c r="A123" s="5">
        <v>45702</v>
      </c>
      <c r="B123" s="2" t="str">
        <f t="shared" si="9"/>
        <v>Feb</v>
      </c>
      <c r="C123" s="2" t="str">
        <f t="shared" si="10"/>
        <v>Q1</v>
      </c>
      <c r="D123" s="2">
        <f t="shared" si="11"/>
        <v>2025</v>
      </c>
      <c r="E123" s="2" t="s">
        <v>20</v>
      </c>
      <c r="F123" s="2" t="s">
        <v>72</v>
      </c>
      <c r="G123" s="2" t="s">
        <v>34</v>
      </c>
      <c r="H123" s="2" t="s">
        <v>52</v>
      </c>
      <c r="I123" s="2" t="s">
        <v>82</v>
      </c>
      <c r="J123" s="2">
        <v>1</v>
      </c>
      <c r="K123" s="3">
        <v>1132.6199999999999</v>
      </c>
      <c r="L123" s="3">
        <f t="shared" si="12"/>
        <v>1132.6199999999999</v>
      </c>
      <c r="M123" s="3">
        <f>ROUND(L123*0.61,2)</f>
        <v>690.9</v>
      </c>
      <c r="N123" s="3">
        <f t="shared" si="13"/>
        <v>441.71999999999991</v>
      </c>
      <c r="O123" s="8">
        <f t="shared" si="14"/>
        <v>0.38999841076442227</v>
      </c>
      <c r="P123" s="2" t="s">
        <v>25</v>
      </c>
      <c r="Q123" s="2" t="s">
        <v>35</v>
      </c>
      <c r="R123" s="3">
        <v>1042.75</v>
      </c>
      <c r="S123" s="3">
        <f t="shared" si="15"/>
        <v>1132.6199999999999</v>
      </c>
      <c r="T123" s="8">
        <f t="shared" si="16"/>
        <v>1.0861855670103091</v>
      </c>
      <c r="U123" s="10">
        <f t="shared" si="17"/>
        <v>8.6185567010309175E-2</v>
      </c>
    </row>
    <row r="124" spans="1:21" x14ac:dyDescent="0.3">
      <c r="A124" s="5">
        <v>45704</v>
      </c>
      <c r="B124" s="2" t="str">
        <f t="shared" si="9"/>
        <v>Feb</v>
      </c>
      <c r="C124" s="2" t="str">
        <f t="shared" si="10"/>
        <v>Q1</v>
      </c>
      <c r="D124" s="2">
        <f t="shared" si="11"/>
        <v>2025</v>
      </c>
      <c r="E124" s="2" t="s">
        <v>27</v>
      </c>
      <c r="F124" s="2" t="s">
        <v>81</v>
      </c>
      <c r="G124" s="2" t="s">
        <v>66</v>
      </c>
      <c r="H124" s="2" t="s">
        <v>23</v>
      </c>
      <c r="I124" s="2" t="s">
        <v>64</v>
      </c>
      <c r="J124" s="2">
        <v>24</v>
      </c>
      <c r="K124" s="3">
        <v>34804.47</v>
      </c>
      <c r="L124" s="3">
        <f t="shared" si="12"/>
        <v>835307.28</v>
      </c>
      <c r="M124" s="3">
        <f>ROUND(L124*0.677,2)</f>
        <v>565503.03</v>
      </c>
      <c r="N124" s="3">
        <f t="shared" si="13"/>
        <v>269804.25</v>
      </c>
      <c r="O124" s="8">
        <f t="shared" si="14"/>
        <v>0.3229999982760835</v>
      </c>
      <c r="P124" s="2" t="s">
        <v>25</v>
      </c>
      <c r="Q124" s="2" t="s">
        <v>35</v>
      </c>
      <c r="R124" s="3">
        <v>728437.67</v>
      </c>
      <c r="S124" s="3">
        <f t="shared" si="15"/>
        <v>835307.28</v>
      </c>
      <c r="T124" s="8">
        <f t="shared" si="16"/>
        <v>1.1467107130799536</v>
      </c>
      <c r="U124" s="10">
        <f t="shared" si="17"/>
        <v>0.14671071307995368</v>
      </c>
    </row>
    <row r="125" spans="1:21" x14ac:dyDescent="0.3">
      <c r="A125" s="5">
        <v>45705</v>
      </c>
      <c r="B125" s="2" t="str">
        <f t="shared" si="9"/>
        <v>Feb</v>
      </c>
      <c r="C125" s="2" t="str">
        <f t="shared" si="10"/>
        <v>Q1</v>
      </c>
      <c r="D125" s="2">
        <f t="shared" si="11"/>
        <v>2025</v>
      </c>
      <c r="E125" s="2" t="s">
        <v>20</v>
      </c>
      <c r="F125" s="2" t="s">
        <v>72</v>
      </c>
      <c r="G125" s="2" t="s">
        <v>29</v>
      </c>
      <c r="H125" s="2" t="s">
        <v>39</v>
      </c>
      <c r="I125" s="2" t="s">
        <v>40</v>
      </c>
      <c r="J125" s="2">
        <v>27</v>
      </c>
      <c r="K125" s="3">
        <v>1624.2</v>
      </c>
      <c r="L125" s="3">
        <f t="shared" si="12"/>
        <v>43853.4</v>
      </c>
      <c r="M125" s="3">
        <f>ROUND(L125*0.701,2)</f>
        <v>30741.23</v>
      </c>
      <c r="N125" s="3">
        <f t="shared" si="13"/>
        <v>13112.170000000002</v>
      </c>
      <c r="O125" s="8">
        <f t="shared" si="14"/>
        <v>0.29900007753104668</v>
      </c>
      <c r="P125" s="2" t="s">
        <v>25</v>
      </c>
      <c r="Q125" s="2" t="s">
        <v>35</v>
      </c>
      <c r="R125" s="3">
        <v>44711.53</v>
      </c>
      <c r="S125" s="3">
        <f t="shared" si="15"/>
        <v>43853.4</v>
      </c>
      <c r="T125" s="8">
        <f t="shared" si="16"/>
        <v>0.98080741142161776</v>
      </c>
      <c r="U125" s="10">
        <f t="shared" si="17"/>
        <v>-1.9192588578382297E-2</v>
      </c>
    </row>
    <row r="126" spans="1:21" x14ac:dyDescent="0.3">
      <c r="A126" s="5">
        <v>45708</v>
      </c>
      <c r="B126" s="2" t="str">
        <f t="shared" si="9"/>
        <v>Feb</v>
      </c>
      <c r="C126" s="2" t="str">
        <f t="shared" si="10"/>
        <v>Q1</v>
      </c>
      <c r="D126" s="2">
        <f t="shared" si="11"/>
        <v>2025</v>
      </c>
      <c r="E126" s="2" t="s">
        <v>36</v>
      </c>
      <c r="F126" s="2" t="s">
        <v>76</v>
      </c>
      <c r="G126" s="2" t="s">
        <v>22</v>
      </c>
      <c r="H126" s="2" t="s">
        <v>52</v>
      </c>
      <c r="I126" s="2" t="s">
        <v>53</v>
      </c>
      <c r="J126" s="2">
        <v>1</v>
      </c>
      <c r="K126" s="3">
        <v>322.87</v>
      </c>
      <c r="L126" s="3">
        <f t="shared" si="12"/>
        <v>322.87</v>
      </c>
      <c r="M126" s="3">
        <f>ROUND(L126*0.777,2)</f>
        <v>250.87</v>
      </c>
      <c r="N126" s="3">
        <f t="shared" si="13"/>
        <v>72</v>
      </c>
      <c r="O126" s="8">
        <f t="shared" si="14"/>
        <v>0.22299996902778207</v>
      </c>
      <c r="P126" s="2" t="s">
        <v>25</v>
      </c>
      <c r="Q126" s="2" t="s">
        <v>35</v>
      </c>
      <c r="R126" s="3">
        <v>300.13</v>
      </c>
      <c r="S126" s="3">
        <f t="shared" si="15"/>
        <v>322.87</v>
      </c>
      <c r="T126" s="8">
        <f t="shared" si="16"/>
        <v>1.0757671675607237</v>
      </c>
      <c r="U126" s="10">
        <f t="shared" si="17"/>
        <v>7.5767167560723714E-2</v>
      </c>
    </row>
    <row r="127" spans="1:21" x14ac:dyDescent="0.3">
      <c r="A127" s="5">
        <v>45710</v>
      </c>
      <c r="B127" s="2" t="str">
        <f t="shared" si="9"/>
        <v>Feb</v>
      </c>
      <c r="C127" s="2" t="str">
        <f t="shared" si="10"/>
        <v>Q1</v>
      </c>
      <c r="D127" s="2">
        <f t="shared" si="11"/>
        <v>2025</v>
      </c>
      <c r="E127" s="2" t="s">
        <v>27</v>
      </c>
      <c r="F127" s="2" t="s">
        <v>81</v>
      </c>
      <c r="G127" s="2" t="s">
        <v>85</v>
      </c>
      <c r="H127" s="2" t="s">
        <v>45</v>
      </c>
      <c r="I127" s="2" t="s">
        <v>46</v>
      </c>
      <c r="J127" s="2">
        <v>36</v>
      </c>
      <c r="K127" s="3">
        <v>1421.37</v>
      </c>
      <c r="L127" s="3">
        <f t="shared" si="12"/>
        <v>51169.319999999992</v>
      </c>
      <c r="M127" s="3">
        <f>ROUND(L127*0.706,2)</f>
        <v>36125.54</v>
      </c>
      <c r="N127" s="3">
        <f t="shared" si="13"/>
        <v>15043.779999999992</v>
      </c>
      <c r="O127" s="8">
        <f t="shared" si="14"/>
        <v>0.29399999843656305</v>
      </c>
      <c r="P127" s="2" t="s">
        <v>41</v>
      </c>
      <c r="Q127" s="2" t="s">
        <v>35</v>
      </c>
      <c r="R127" s="3">
        <v>47855.8</v>
      </c>
      <c r="S127" s="3">
        <f t="shared" si="15"/>
        <v>51169.319999999992</v>
      </c>
      <c r="T127" s="8">
        <f t="shared" si="16"/>
        <v>1.0692396741878725</v>
      </c>
      <c r="U127" s="10">
        <f t="shared" si="17"/>
        <v>6.923967418787251E-2</v>
      </c>
    </row>
    <row r="128" spans="1:21" x14ac:dyDescent="0.3">
      <c r="A128" s="5">
        <v>45712</v>
      </c>
      <c r="B128" s="2" t="str">
        <f t="shared" si="9"/>
        <v>Feb</v>
      </c>
      <c r="C128" s="2" t="str">
        <f t="shared" si="10"/>
        <v>Q1</v>
      </c>
      <c r="D128" s="2">
        <f t="shared" si="11"/>
        <v>2025</v>
      </c>
      <c r="E128" s="2" t="s">
        <v>27</v>
      </c>
      <c r="F128" s="2" t="s">
        <v>59</v>
      </c>
      <c r="G128" s="2" t="s">
        <v>48</v>
      </c>
      <c r="H128" s="2" t="s">
        <v>23</v>
      </c>
      <c r="I128" s="2" t="s">
        <v>88</v>
      </c>
      <c r="J128" s="2">
        <v>23</v>
      </c>
      <c r="K128" s="3">
        <v>37023.58</v>
      </c>
      <c r="L128" s="3">
        <f t="shared" si="12"/>
        <v>851542.34000000008</v>
      </c>
      <c r="M128" s="3">
        <f>ROUND(L128*0.574,2)</f>
        <v>488785.3</v>
      </c>
      <c r="N128" s="3">
        <f t="shared" si="13"/>
        <v>362757.0400000001</v>
      </c>
      <c r="O128" s="8">
        <f t="shared" si="14"/>
        <v>0.42600000371091362</v>
      </c>
      <c r="P128" s="2" t="s">
        <v>41</v>
      </c>
      <c r="Q128" s="2" t="s">
        <v>35</v>
      </c>
      <c r="R128" s="3">
        <v>853435.97</v>
      </c>
      <c r="S128" s="3">
        <f t="shared" si="15"/>
        <v>851542.34000000008</v>
      </c>
      <c r="T128" s="8">
        <f t="shared" si="16"/>
        <v>0.99778116921882276</v>
      </c>
      <c r="U128" s="10">
        <f t="shared" si="17"/>
        <v>-2.2188307811772784E-3</v>
      </c>
    </row>
    <row r="129" spans="1:21" x14ac:dyDescent="0.3">
      <c r="A129" s="5">
        <v>45712</v>
      </c>
      <c r="B129" s="2" t="str">
        <f t="shared" si="9"/>
        <v>Feb</v>
      </c>
      <c r="C129" s="2" t="str">
        <f t="shared" si="10"/>
        <v>Q1</v>
      </c>
      <c r="D129" s="2">
        <f t="shared" si="11"/>
        <v>2025</v>
      </c>
      <c r="E129" s="2" t="s">
        <v>27</v>
      </c>
      <c r="F129" s="2" t="s">
        <v>78</v>
      </c>
      <c r="G129" s="2" t="s">
        <v>55</v>
      </c>
      <c r="H129" s="2" t="s">
        <v>39</v>
      </c>
      <c r="I129" s="2" t="s">
        <v>86</v>
      </c>
      <c r="J129" s="2">
        <v>29</v>
      </c>
      <c r="K129" s="3">
        <v>1930.25</v>
      </c>
      <c r="L129" s="3">
        <f t="shared" si="12"/>
        <v>55977.25</v>
      </c>
      <c r="M129" s="3">
        <f>ROUND(L129*0.604,2)</f>
        <v>33810.26</v>
      </c>
      <c r="N129" s="3">
        <f t="shared" si="13"/>
        <v>22166.989999999998</v>
      </c>
      <c r="O129" s="8">
        <f t="shared" si="14"/>
        <v>0.39599998213559967</v>
      </c>
      <c r="P129" s="2" t="s">
        <v>25</v>
      </c>
      <c r="Q129" s="2" t="s">
        <v>26</v>
      </c>
      <c r="R129" s="3">
        <v>51597.06</v>
      </c>
      <c r="S129" s="3">
        <f t="shared" si="15"/>
        <v>55977.25</v>
      </c>
      <c r="T129" s="8">
        <f t="shared" si="16"/>
        <v>1.0848922399842162</v>
      </c>
      <c r="U129" s="10">
        <f t="shared" si="17"/>
        <v>8.4892239984216203E-2</v>
      </c>
    </row>
    <row r="130" spans="1:21" x14ac:dyDescent="0.3">
      <c r="A130" s="5">
        <v>45715</v>
      </c>
      <c r="B130" s="2" t="str">
        <f t="shared" ref="B130:B193" si="18">TEXT(A130,"mmm")</f>
        <v>Feb</v>
      </c>
      <c r="C130" s="2" t="str">
        <f t="shared" ref="C130:C193" si="19">"Q"&amp;ROUNDUP(MONTH(A130)/3,0)</f>
        <v>Q1</v>
      </c>
      <c r="D130" s="2">
        <f t="shared" ref="D130:D193" si="20">YEAR(A130)</f>
        <v>2025</v>
      </c>
      <c r="E130" s="2" t="s">
        <v>27</v>
      </c>
      <c r="F130" s="2" t="s">
        <v>28</v>
      </c>
      <c r="G130" s="2" t="s">
        <v>38</v>
      </c>
      <c r="H130" s="2" t="s">
        <v>39</v>
      </c>
      <c r="I130" s="2" t="s">
        <v>62</v>
      </c>
      <c r="J130" s="2">
        <v>12</v>
      </c>
      <c r="K130" s="3">
        <v>2223.2199999999998</v>
      </c>
      <c r="L130" s="3">
        <f t="shared" ref="L130:L193" si="21">J130*K130</f>
        <v>26678.639999999999</v>
      </c>
      <c r="M130" s="3">
        <f>ROUND(L130*0.694,2)</f>
        <v>18514.98</v>
      </c>
      <c r="N130" s="3">
        <f t="shared" ref="N130:N193" si="22">L130-M130</f>
        <v>8163.66</v>
      </c>
      <c r="O130" s="8">
        <f t="shared" ref="O130:O193" si="23">IFERROR(N130/L130,0)</f>
        <v>0.30599985606462698</v>
      </c>
      <c r="P130" s="2" t="s">
        <v>25</v>
      </c>
      <c r="Q130" s="2" t="s">
        <v>26</v>
      </c>
      <c r="R130" s="3">
        <v>26095.98</v>
      </c>
      <c r="S130" s="3">
        <f t="shared" ref="S130:S193" si="24">L130</f>
        <v>26678.639999999999</v>
      </c>
      <c r="T130" s="8">
        <f t="shared" ref="T130:T193" si="25">IFERROR(S130/R130,0)</f>
        <v>1.0223275768911533</v>
      </c>
      <c r="U130" s="10">
        <f t="shared" ref="U130:U193" si="26">IFERROR((S130-R130)/R130,0)</f>
        <v>2.2327576891153344E-2</v>
      </c>
    </row>
    <row r="131" spans="1:21" x14ac:dyDescent="0.3">
      <c r="A131" s="5">
        <v>45717</v>
      </c>
      <c r="B131" s="2" t="str">
        <f t="shared" si="18"/>
        <v>Mar</v>
      </c>
      <c r="C131" s="2" t="str">
        <f t="shared" si="19"/>
        <v>Q1</v>
      </c>
      <c r="D131" s="2">
        <f t="shared" si="20"/>
        <v>2025</v>
      </c>
      <c r="E131" s="2" t="s">
        <v>36</v>
      </c>
      <c r="F131" s="2" t="s">
        <v>76</v>
      </c>
      <c r="G131" s="2" t="s">
        <v>22</v>
      </c>
      <c r="H131" s="2" t="s">
        <v>52</v>
      </c>
      <c r="I131" s="2" t="s">
        <v>84</v>
      </c>
      <c r="J131" s="2">
        <v>13</v>
      </c>
      <c r="K131" s="3">
        <v>301.87</v>
      </c>
      <c r="L131" s="3">
        <f t="shared" si="21"/>
        <v>3924.31</v>
      </c>
      <c r="M131" s="3">
        <f>ROUND(L131*0.762,2)</f>
        <v>2990.32</v>
      </c>
      <c r="N131" s="3">
        <f t="shared" si="22"/>
        <v>933.98999999999978</v>
      </c>
      <c r="O131" s="8">
        <f t="shared" si="23"/>
        <v>0.23800107534827775</v>
      </c>
      <c r="P131" s="2" t="s">
        <v>41</v>
      </c>
      <c r="Q131" s="2" t="s">
        <v>26</v>
      </c>
      <c r="R131" s="3">
        <v>3934.01</v>
      </c>
      <c r="S131" s="3">
        <f t="shared" si="24"/>
        <v>3924.31</v>
      </c>
      <c r="T131" s="8">
        <f t="shared" si="25"/>
        <v>0.99753432248519947</v>
      </c>
      <c r="U131" s="10">
        <f t="shared" si="26"/>
        <v>-2.465677514800489E-3</v>
      </c>
    </row>
    <row r="132" spans="1:21" x14ac:dyDescent="0.3">
      <c r="A132" s="5">
        <v>45725</v>
      </c>
      <c r="B132" s="2" t="str">
        <f t="shared" si="18"/>
        <v>Mar</v>
      </c>
      <c r="C132" s="2" t="str">
        <f t="shared" si="19"/>
        <v>Q1</v>
      </c>
      <c r="D132" s="2">
        <f t="shared" si="20"/>
        <v>2025</v>
      </c>
      <c r="E132" s="2" t="s">
        <v>32</v>
      </c>
      <c r="F132" s="2" t="s">
        <v>33</v>
      </c>
      <c r="G132" s="2" t="s">
        <v>34</v>
      </c>
      <c r="H132" s="2" t="s">
        <v>30</v>
      </c>
      <c r="I132" s="2" t="s">
        <v>87</v>
      </c>
      <c r="J132" s="2">
        <v>4</v>
      </c>
      <c r="K132" s="3">
        <v>8180.57</v>
      </c>
      <c r="L132" s="3">
        <f t="shared" si="21"/>
        <v>32722.28</v>
      </c>
      <c r="M132" s="3">
        <f>ROUND(L132*0.683,2)</f>
        <v>22349.32</v>
      </c>
      <c r="N132" s="3">
        <f t="shared" si="22"/>
        <v>10372.959999999999</v>
      </c>
      <c r="O132" s="8">
        <f t="shared" si="23"/>
        <v>0.31699991565379915</v>
      </c>
      <c r="P132" s="2" t="s">
        <v>25</v>
      </c>
      <c r="Q132" s="2" t="s">
        <v>26</v>
      </c>
      <c r="R132" s="3">
        <v>33136.5</v>
      </c>
      <c r="S132" s="3">
        <f t="shared" si="24"/>
        <v>32722.28</v>
      </c>
      <c r="T132" s="8">
        <f t="shared" si="25"/>
        <v>0.98749958504971858</v>
      </c>
      <c r="U132" s="10">
        <f t="shared" si="26"/>
        <v>-1.2500414950281447E-2</v>
      </c>
    </row>
    <row r="133" spans="1:21" x14ac:dyDescent="0.3">
      <c r="A133" s="5">
        <v>45732</v>
      </c>
      <c r="B133" s="2" t="str">
        <f t="shared" si="18"/>
        <v>Mar</v>
      </c>
      <c r="C133" s="2" t="str">
        <f t="shared" si="19"/>
        <v>Q1</v>
      </c>
      <c r="D133" s="2">
        <f t="shared" si="20"/>
        <v>2025</v>
      </c>
      <c r="E133" s="2" t="s">
        <v>42</v>
      </c>
      <c r="F133" s="2" t="s">
        <v>83</v>
      </c>
      <c r="G133" s="2" t="s">
        <v>68</v>
      </c>
      <c r="H133" s="2" t="s">
        <v>45</v>
      </c>
      <c r="I133" s="2" t="s">
        <v>46</v>
      </c>
      <c r="J133" s="2">
        <v>14</v>
      </c>
      <c r="K133" s="3">
        <v>3186.57</v>
      </c>
      <c r="L133" s="3">
        <f t="shared" si="21"/>
        <v>44611.98</v>
      </c>
      <c r="M133" s="3">
        <f>ROUND(L133*0.707,2)</f>
        <v>31540.67</v>
      </c>
      <c r="N133" s="3">
        <f t="shared" si="22"/>
        <v>13071.310000000005</v>
      </c>
      <c r="O133" s="8">
        <f t="shared" si="23"/>
        <v>0.29299999686182959</v>
      </c>
      <c r="P133" s="2" t="s">
        <v>25</v>
      </c>
      <c r="Q133" s="2" t="s">
        <v>35</v>
      </c>
      <c r="R133" s="3">
        <v>46846.15</v>
      </c>
      <c r="S133" s="3">
        <f t="shared" si="24"/>
        <v>44611.98</v>
      </c>
      <c r="T133" s="8">
        <f t="shared" si="25"/>
        <v>0.95230835404830494</v>
      </c>
      <c r="U133" s="10">
        <f t="shared" si="26"/>
        <v>-4.7691645951695033E-2</v>
      </c>
    </row>
    <row r="134" spans="1:21" x14ac:dyDescent="0.3">
      <c r="A134" s="5">
        <v>45732</v>
      </c>
      <c r="B134" s="2" t="str">
        <f t="shared" si="18"/>
        <v>Mar</v>
      </c>
      <c r="C134" s="2" t="str">
        <f t="shared" si="19"/>
        <v>Q1</v>
      </c>
      <c r="D134" s="2">
        <f t="shared" si="20"/>
        <v>2025</v>
      </c>
      <c r="E134" s="2" t="s">
        <v>32</v>
      </c>
      <c r="F134" s="2" t="s">
        <v>74</v>
      </c>
      <c r="G134" s="2" t="s">
        <v>57</v>
      </c>
      <c r="H134" s="2" t="s">
        <v>45</v>
      </c>
      <c r="I134" s="2" t="s">
        <v>49</v>
      </c>
      <c r="J134" s="2">
        <v>21</v>
      </c>
      <c r="K134" s="3">
        <v>717.16</v>
      </c>
      <c r="L134" s="3">
        <f t="shared" si="21"/>
        <v>15060.359999999999</v>
      </c>
      <c r="M134" s="3">
        <f>ROUND(L134*0.702,2)</f>
        <v>10572.37</v>
      </c>
      <c r="N134" s="3">
        <f t="shared" si="22"/>
        <v>4487.989999999998</v>
      </c>
      <c r="O134" s="8">
        <f t="shared" si="23"/>
        <v>0.29800018060657235</v>
      </c>
      <c r="P134" s="2" t="s">
        <v>25</v>
      </c>
      <c r="Q134" s="2" t="s">
        <v>26</v>
      </c>
      <c r="R134" s="3">
        <v>14186.09</v>
      </c>
      <c r="S134" s="3">
        <f t="shared" si="24"/>
        <v>15060.359999999999</v>
      </c>
      <c r="T134" s="8">
        <f t="shared" si="25"/>
        <v>1.0616286799251942</v>
      </c>
      <c r="U134" s="10">
        <f t="shared" si="26"/>
        <v>6.1628679925194232E-2</v>
      </c>
    </row>
    <row r="135" spans="1:21" x14ac:dyDescent="0.3">
      <c r="A135" s="5">
        <v>45733</v>
      </c>
      <c r="B135" s="2" t="str">
        <f t="shared" si="18"/>
        <v>Mar</v>
      </c>
      <c r="C135" s="2" t="str">
        <f t="shared" si="19"/>
        <v>Q1</v>
      </c>
      <c r="D135" s="2">
        <f t="shared" si="20"/>
        <v>2025</v>
      </c>
      <c r="E135" s="2" t="s">
        <v>20</v>
      </c>
      <c r="F135" s="2" t="s">
        <v>54</v>
      </c>
      <c r="G135" s="2" t="s">
        <v>29</v>
      </c>
      <c r="H135" s="2" t="s">
        <v>45</v>
      </c>
      <c r="I135" s="2" t="s">
        <v>46</v>
      </c>
      <c r="J135" s="2">
        <v>20</v>
      </c>
      <c r="K135" s="3">
        <v>2630.96</v>
      </c>
      <c r="L135" s="3">
        <f t="shared" si="21"/>
        <v>52619.199999999997</v>
      </c>
      <c r="M135" s="3">
        <f>ROUND(L135*0.667,2)</f>
        <v>35097.01</v>
      </c>
      <c r="N135" s="3">
        <f t="shared" si="22"/>
        <v>17522.189999999995</v>
      </c>
      <c r="O135" s="8">
        <f t="shared" si="23"/>
        <v>0.33299993158390845</v>
      </c>
      <c r="P135" s="2" t="s">
        <v>25</v>
      </c>
      <c r="Q135" s="2" t="s">
        <v>35</v>
      </c>
      <c r="R135" s="3">
        <v>55253.73</v>
      </c>
      <c r="S135" s="3">
        <f t="shared" si="24"/>
        <v>52619.199999999997</v>
      </c>
      <c r="T135" s="8">
        <f t="shared" si="25"/>
        <v>0.95231941807367559</v>
      </c>
      <c r="U135" s="10">
        <f t="shared" si="26"/>
        <v>-4.7680581926324357E-2</v>
      </c>
    </row>
    <row r="136" spans="1:21" x14ac:dyDescent="0.3">
      <c r="A136" s="5">
        <v>45738</v>
      </c>
      <c r="B136" s="2" t="str">
        <f t="shared" si="18"/>
        <v>Mar</v>
      </c>
      <c r="C136" s="2" t="str">
        <f t="shared" si="19"/>
        <v>Q1</v>
      </c>
      <c r="D136" s="2">
        <f t="shared" si="20"/>
        <v>2025</v>
      </c>
      <c r="E136" s="2" t="s">
        <v>32</v>
      </c>
      <c r="F136" s="2" t="s">
        <v>33</v>
      </c>
      <c r="G136" s="2" t="s">
        <v>57</v>
      </c>
      <c r="H136" s="2" t="s">
        <v>23</v>
      </c>
      <c r="I136" s="2" t="s">
        <v>90</v>
      </c>
      <c r="J136" s="2">
        <v>22</v>
      </c>
      <c r="K136" s="3">
        <v>52555.15</v>
      </c>
      <c r="L136" s="3">
        <f t="shared" si="21"/>
        <v>1156213.3</v>
      </c>
      <c r="M136" s="3">
        <f>ROUND(L136*0.601,2)</f>
        <v>694884.19</v>
      </c>
      <c r="N136" s="3">
        <f t="shared" si="22"/>
        <v>461329.1100000001</v>
      </c>
      <c r="O136" s="8">
        <f t="shared" si="23"/>
        <v>0.39900000285414472</v>
      </c>
      <c r="P136" s="2" t="s">
        <v>41</v>
      </c>
      <c r="Q136" s="2" t="s">
        <v>26</v>
      </c>
      <c r="R136" s="3">
        <v>1253029.24</v>
      </c>
      <c r="S136" s="3">
        <f t="shared" si="24"/>
        <v>1156213.3</v>
      </c>
      <c r="T136" s="8">
        <f t="shared" si="25"/>
        <v>0.92273449261247886</v>
      </c>
      <c r="U136" s="10">
        <f t="shared" si="26"/>
        <v>-7.7265507387521096E-2</v>
      </c>
    </row>
    <row r="137" spans="1:21" x14ac:dyDescent="0.3">
      <c r="A137" s="5">
        <v>45739</v>
      </c>
      <c r="B137" s="2" t="str">
        <f t="shared" si="18"/>
        <v>Mar</v>
      </c>
      <c r="C137" s="2" t="str">
        <f t="shared" si="19"/>
        <v>Q1</v>
      </c>
      <c r="D137" s="2">
        <f t="shared" si="20"/>
        <v>2025</v>
      </c>
      <c r="E137" s="2" t="s">
        <v>20</v>
      </c>
      <c r="F137" s="2" t="s">
        <v>72</v>
      </c>
      <c r="G137" s="2" t="s">
        <v>55</v>
      </c>
      <c r="H137" s="2" t="s">
        <v>45</v>
      </c>
      <c r="I137" s="2" t="s">
        <v>46</v>
      </c>
      <c r="J137" s="2">
        <v>26</v>
      </c>
      <c r="K137" s="3">
        <v>1685.6</v>
      </c>
      <c r="L137" s="3">
        <f t="shared" si="21"/>
        <v>43825.599999999999</v>
      </c>
      <c r="M137" s="3">
        <f>ROUND(L137*0.665,2)</f>
        <v>29144.02</v>
      </c>
      <c r="N137" s="3">
        <f t="shared" si="22"/>
        <v>14681.579999999998</v>
      </c>
      <c r="O137" s="8">
        <f t="shared" si="23"/>
        <v>0.33500009127085534</v>
      </c>
      <c r="P137" s="2" t="s">
        <v>41</v>
      </c>
      <c r="Q137" s="2" t="s">
        <v>35</v>
      </c>
      <c r="R137" s="3">
        <v>40351.69</v>
      </c>
      <c r="S137" s="3">
        <f t="shared" si="24"/>
        <v>43825.599999999999</v>
      </c>
      <c r="T137" s="8">
        <f t="shared" si="25"/>
        <v>1.0860908180053921</v>
      </c>
      <c r="U137" s="10">
        <f t="shared" si="26"/>
        <v>8.6090818005391992E-2</v>
      </c>
    </row>
    <row r="138" spans="1:21" x14ac:dyDescent="0.3">
      <c r="A138" s="5">
        <v>45742</v>
      </c>
      <c r="B138" s="2" t="str">
        <f t="shared" si="18"/>
        <v>Mar</v>
      </c>
      <c r="C138" s="2" t="str">
        <f t="shared" si="19"/>
        <v>Q1</v>
      </c>
      <c r="D138" s="2">
        <f t="shared" si="20"/>
        <v>2025</v>
      </c>
      <c r="E138" s="2" t="s">
        <v>36</v>
      </c>
      <c r="F138" s="2" t="s">
        <v>37</v>
      </c>
      <c r="G138" s="2" t="s">
        <v>34</v>
      </c>
      <c r="H138" s="2" t="s">
        <v>52</v>
      </c>
      <c r="I138" s="2" t="s">
        <v>71</v>
      </c>
      <c r="J138" s="2">
        <v>34</v>
      </c>
      <c r="K138" s="3">
        <v>535.71</v>
      </c>
      <c r="L138" s="3">
        <f t="shared" si="21"/>
        <v>18214.14</v>
      </c>
      <c r="M138" s="3">
        <f>ROUND(L138*0.611,2)</f>
        <v>11128.84</v>
      </c>
      <c r="N138" s="3">
        <f t="shared" si="22"/>
        <v>7085.2999999999993</v>
      </c>
      <c r="O138" s="8">
        <f t="shared" si="23"/>
        <v>0.38899997474489595</v>
      </c>
      <c r="P138" s="2" t="s">
        <v>25</v>
      </c>
      <c r="Q138" s="2" t="s">
        <v>26</v>
      </c>
      <c r="R138" s="3">
        <v>15933.43</v>
      </c>
      <c r="S138" s="3">
        <f t="shared" si="24"/>
        <v>18214.14</v>
      </c>
      <c r="T138" s="8">
        <f t="shared" si="25"/>
        <v>1.1431399265569309</v>
      </c>
      <c r="U138" s="10">
        <f t="shared" si="26"/>
        <v>0.14313992655693086</v>
      </c>
    </row>
    <row r="139" spans="1:21" x14ac:dyDescent="0.3">
      <c r="A139" s="5">
        <v>45744</v>
      </c>
      <c r="B139" s="2" t="str">
        <f t="shared" si="18"/>
        <v>Mar</v>
      </c>
      <c r="C139" s="2" t="str">
        <f t="shared" si="19"/>
        <v>Q1</v>
      </c>
      <c r="D139" s="2">
        <f t="shared" si="20"/>
        <v>2025</v>
      </c>
      <c r="E139" s="2" t="s">
        <v>32</v>
      </c>
      <c r="F139" s="2" t="s">
        <v>33</v>
      </c>
      <c r="G139" s="2" t="s">
        <v>57</v>
      </c>
      <c r="H139" s="2" t="s">
        <v>23</v>
      </c>
      <c r="I139" s="2" t="s">
        <v>24</v>
      </c>
      <c r="J139" s="2">
        <v>45</v>
      </c>
      <c r="K139" s="3">
        <v>6826.52</v>
      </c>
      <c r="L139" s="3">
        <f t="shared" si="21"/>
        <v>307193.40000000002</v>
      </c>
      <c r="M139" s="3">
        <f>ROUND(L139*0.758,2)</f>
        <v>232852.6</v>
      </c>
      <c r="N139" s="3">
        <f t="shared" si="22"/>
        <v>74340.800000000017</v>
      </c>
      <c r="O139" s="8">
        <f t="shared" si="23"/>
        <v>0.24199999088522087</v>
      </c>
      <c r="P139" s="2" t="s">
        <v>25</v>
      </c>
      <c r="Q139" s="2" t="s">
        <v>26</v>
      </c>
      <c r="R139" s="3">
        <v>311394.90999999997</v>
      </c>
      <c r="S139" s="3">
        <f t="shared" si="24"/>
        <v>307193.40000000002</v>
      </c>
      <c r="T139" s="8">
        <f t="shared" si="25"/>
        <v>0.98650745447316412</v>
      </c>
      <c r="U139" s="10">
        <f t="shared" si="26"/>
        <v>-1.3492545526835847E-2</v>
      </c>
    </row>
    <row r="140" spans="1:21" x14ac:dyDescent="0.3">
      <c r="A140" s="5">
        <v>45749</v>
      </c>
      <c r="B140" s="2" t="str">
        <f t="shared" si="18"/>
        <v>Apr</v>
      </c>
      <c r="C140" s="2" t="str">
        <f t="shared" si="19"/>
        <v>Q2</v>
      </c>
      <c r="D140" s="2">
        <f t="shared" si="20"/>
        <v>2025</v>
      </c>
      <c r="E140" s="2" t="s">
        <v>32</v>
      </c>
      <c r="F140" s="2" t="s">
        <v>33</v>
      </c>
      <c r="G140" s="2" t="s">
        <v>44</v>
      </c>
      <c r="H140" s="2" t="s">
        <v>45</v>
      </c>
      <c r="I140" s="2" t="s">
        <v>89</v>
      </c>
      <c r="J140" s="2">
        <v>25</v>
      </c>
      <c r="K140" s="3">
        <v>2764.67</v>
      </c>
      <c r="L140" s="3">
        <f t="shared" si="21"/>
        <v>69116.75</v>
      </c>
      <c r="M140" s="3">
        <f>ROUND(L140*0.655,2)</f>
        <v>45271.47</v>
      </c>
      <c r="N140" s="3">
        <f t="shared" si="22"/>
        <v>23845.279999999999</v>
      </c>
      <c r="O140" s="8">
        <f t="shared" si="23"/>
        <v>0.34500001808534109</v>
      </c>
      <c r="P140" s="2" t="s">
        <v>41</v>
      </c>
      <c r="Q140" s="2" t="s">
        <v>26</v>
      </c>
      <c r="R140" s="3">
        <v>65421.3</v>
      </c>
      <c r="S140" s="3">
        <f t="shared" si="24"/>
        <v>69116.75</v>
      </c>
      <c r="T140" s="8">
        <f t="shared" si="25"/>
        <v>1.0564869545545563</v>
      </c>
      <c r="U140" s="10">
        <f t="shared" si="26"/>
        <v>5.6486954554556344E-2</v>
      </c>
    </row>
    <row r="141" spans="1:21" x14ac:dyDescent="0.3">
      <c r="A141" s="5">
        <v>45751</v>
      </c>
      <c r="B141" s="2" t="str">
        <f t="shared" si="18"/>
        <v>Apr</v>
      </c>
      <c r="C141" s="2" t="str">
        <f t="shared" si="19"/>
        <v>Q2</v>
      </c>
      <c r="D141" s="2">
        <f t="shared" si="20"/>
        <v>2025</v>
      </c>
      <c r="E141" s="2" t="s">
        <v>32</v>
      </c>
      <c r="F141" s="2" t="s">
        <v>70</v>
      </c>
      <c r="G141" s="2" t="s">
        <v>38</v>
      </c>
      <c r="H141" s="2" t="s">
        <v>30</v>
      </c>
      <c r="I141" s="2" t="s">
        <v>60</v>
      </c>
      <c r="J141" s="2">
        <v>10</v>
      </c>
      <c r="K141" s="3">
        <v>10815.39</v>
      </c>
      <c r="L141" s="3">
        <f t="shared" si="21"/>
        <v>108153.9</v>
      </c>
      <c r="M141" s="3">
        <f>ROUND(L141*0.6,2)</f>
        <v>64892.34</v>
      </c>
      <c r="N141" s="3">
        <f t="shared" si="22"/>
        <v>43261.56</v>
      </c>
      <c r="O141" s="8">
        <f t="shared" si="23"/>
        <v>0.4</v>
      </c>
      <c r="P141" s="2" t="s">
        <v>41</v>
      </c>
      <c r="Q141" s="2" t="s">
        <v>26</v>
      </c>
      <c r="R141" s="3">
        <v>116703.28</v>
      </c>
      <c r="S141" s="3">
        <f t="shared" si="24"/>
        <v>108153.9</v>
      </c>
      <c r="T141" s="8">
        <f t="shared" si="25"/>
        <v>0.92674259026824268</v>
      </c>
      <c r="U141" s="10">
        <f t="shared" si="26"/>
        <v>-7.3257409731757372E-2</v>
      </c>
    </row>
    <row r="142" spans="1:21" x14ac:dyDescent="0.3">
      <c r="A142" s="5">
        <v>45751</v>
      </c>
      <c r="B142" s="2" t="str">
        <f t="shared" si="18"/>
        <v>Apr</v>
      </c>
      <c r="C142" s="2" t="str">
        <f t="shared" si="19"/>
        <v>Q2</v>
      </c>
      <c r="D142" s="2">
        <f t="shared" si="20"/>
        <v>2025</v>
      </c>
      <c r="E142" s="2" t="s">
        <v>32</v>
      </c>
      <c r="F142" s="2" t="s">
        <v>73</v>
      </c>
      <c r="G142" s="2" t="s">
        <v>51</v>
      </c>
      <c r="H142" s="2" t="s">
        <v>23</v>
      </c>
      <c r="I142" s="2" t="s">
        <v>88</v>
      </c>
      <c r="J142" s="2">
        <v>10</v>
      </c>
      <c r="K142" s="3">
        <v>14900.15</v>
      </c>
      <c r="L142" s="3">
        <f t="shared" si="21"/>
        <v>149001.5</v>
      </c>
      <c r="M142" s="3">
        <f>ROUND(L142*0.676,2)</f>
        <v>100725.01</v>
      </c>
      <c r="N142" s="3">
        <f t="shared" si="22"/>
        <v>48276.490000000005</v>
      </c>
      <c r="O142" s="8">
        <f t="shared" si="23"/>
        <v>0.32400002684536738</v>
      </c>
      <c r="P142" s="2" t="s">
        <v>25</v>
      </c>
      <c r="Q142" s="2" t="s">
        <v>26</v>
      </c>
      <c r="R142" s="3">
        <v>159159</v>
      </c>
      <c r="S142" s="3">
        <f t="shared" si="24"/>
        <v>149001.5</v>
      </c>
      <c r="T142" s="8">
        <f t="shared" si="25"/>
        <v>0.93618017202922865</v>
      </c>
      <c r="U142" s="10">
        <f t="shared" si="26"/>
        <v>-6.3819827970771362E-2</v>
      </c>
    </row>
    <row r="143" spans="1:21" x14ac:dyDescent="0.3">
      <c r="A143" s="5">
        <v>45752</v>
      </c>
      <c r="B143" s="2" t="str">
        <f t="shared" si="18"/>
        <v>Apr</v>
      </c>
      <c r="C143" s="2" t="str">
        <f t="shared" si="19"/>
        <v>Q2</v>
      </c>
      <c r="D143" s="2">
        <f t="shared" si="20"/>
        <v>2025</v>
      </c>
      <c r="E143" s="2" t="s">
        <v>32</v>
      </c>
      <c r="F143" s="2" t="s">
        <v>74</v>
      </c>
      <c r="G143" s="2" t="s">
        <v>44</v>
      </c>
      <c r="H143" s="2" t="s">
        <v>39</v>
      </c>
      <c r="I143" s="2" t="s">
        <v>56</v>
      </c>
      <c r="J143" s="2">
        <v>4</v>
      </c>
      <c r="K143" s="3">
        <v>1352.65</v>
      </c>
      <c r="L143" s="3">
        <f t="shared" si="21"/>
        <v>5410.6</v>
      </c>
      <c r="M143" s="3">
        <f>ROUND(L143*0.654,2)</f>
        <v>3538.53</v>
      </c>
      <c r="N143" s="3">
        <f t="shared" si="22"/>
        <v>1872.0700000000002</v>
      </c>
      <c r="O143" s="8">
        <f t="shared" si="23"/>
        <v>0.34600044357372567</v>
      </c>
      <c r="P143" s="2" t="s">
        <v>25</v>
      </c>
      <c r="Q143" s="2" t="s">
        <v>26</v>
      </c>
      <c r="R143" s="3">
        <v>5915.36</v>
      </c>
      <c r="S143" s="3">
        <f t="shared" si="24"/>
        <v>5410.6</v>
      </c>
      <c r="T143" s="8">
        <f t="shared" si="25"/>
        <v>0.91466960590733293</v>
      </c>
      <c r="U143" s="10">
        <f t="shared" si="26"/>
        <v>-8.5330394092667114E-2</v>
      </c>
    </row>
    <row r="144" spans="1:21" x14ac:dyDescent="0.3">
      <c r="A144" s="5">
        <v>45753</v>
      </c>
      <c r="B144" s="2" t="str">
        <f t="shared" si="18"/>
        <v>Apr</v>
      </c>
      <c r="C144" s="2" t="str">
        <f t="shared" si="19"/>
        <v>Q2</v>
      </c>
      <c r="D144" s="2">
        <f t="shared" si="20"/>
        <v>2025</v>
      </c>
      <c r="E144" s="2" t="s">
        <v>42</v>
      </c>
      <c r="F144" s="2" t="s">
        <v>43</v>
      </c>
      <c r="G144" s="2" t="s">
        <v>29</v>
      </c>
      <c r="H144" s="2" t="s">
        <v>39</v>
      </c>
      <c r="I144" s="2" t="s">
        <v>56</v>
      </c>
      <c r="J144" s="2">
        <v>32</v>
      </c>
      <c r="K144" s="3">
        <v>973.05</v>
      </c>
      <c r="L144" s="3">
        <f t="shared" si="21"/>
        <v>31137.599999999999</v>
      </c>
      <c r="M144" s="3">
        <f>ROUND(L144*0.746,2)</f>
        <v>23228.65</v>
      </c>
      <c r="N144" s="3">
        <f t="shared" si="22"/>
        <v>7908.9499999999971</v>
      </c>
      <c r="O144" s="8">
        <f t="shared" si="23"/>
        <v>0.25399998715379468</v>
      </c>
      <c r="P144" s="2" t="s">
        <v>41</v>
      </c>
      <c r="Q144" s="2" t="s">
        <v>35</v>
      </c>
      <c r="R144" s="3">
        <v>28165.58</v>
      </c>
      <c r="S144" s="3">
        <f t="shared" si="24"/>
        <v>31137.599999999999</v>
      </c>
      <c r="T144" s="8">
        <f t="shared" si="25"/>
        <v>1.1055195738912529</v>
      </c>
      <c r="U144" s="10">
        <f t="shared" si="26"/>
        <v>0.10551957389125297</v>
      </c>
    </row>
    <row r="145" spans="1:21" x14ac:dyDescent="0.3">
      <c r="A145" s="5">
        <v>45754</v>
      </c>
      <c r="B145" s="2" t="str">
        <f t="shared" si="18"/>
        <v>Apr</v>
      </c>
      <c r="C145" s="2" t="str">
        <f t="shared" si="19"/>
        <v>Q2</v>
      </c>
      <c r="D145" s="2">
        <f t="shared" si="20"/>
        <v>2025</v>
      </c>
      <c r="E145" s="2" t="s">
        <v>42</v>
      </c>
      <c r="F145" s="2" t="s">
        <v>43</v>
      </c>
      <c r="G145" s="2" t="s">
        <v>44</v>
      </c>
      <c r="H145" s="2" t="s">
        <v>52</v>
      </c>
      <c r="I145" s="2" t="s">
        <v>71</v>
      </c>
      <c r="J145" s="2">
        <v>7</v>
      </c>
      <c r="K145" s="3">
        <v>586.79</v>
      </c>
      <c r="L145" s="3">
        <f t="shared" si="21"/>
        <v>4107.53</v>
      </c>
      <c r="M145" s="3">
        <f>ROUND(L145*0.622,2)</f>
        <v>2554.88</v>
      </c>
      <c r="N145" s="3">
        <f t="shared" si="22"/>
        <v>1552.6499999999996</v>
      </c>
      <c r="O145" s="8">
        <f t="shared" si="23"/>
        <v>0.37800089104644391</v>
      </c>
      <c r="P145" s="2" t="s">
        <v>25</v>
      </c>
      <c r="Q145" s="2" t="s">
        <v>35</v>
      </c>
      <c r="R145" s="3">
        <v>3876.51</v>
      </c>
      <c r="S145" s="3">
        <f t="shared" si="24"/>
        <v>4107.53</v>
      </c>
      <c r="T145" s="8">
        <f t="shared" si="25"/>
        <v>1.059594841751988</v>
      </c>
      <c r="U145" s="10">
        <f t="shared" si="26"/>
        <v>5.9594841751988134E-2</v>
      </c>
    </row>
    <row r="146" spans="1:21" x14ac:dyDescent="0.3">
      <c r="A146" s="5">
        <v>45754</v>
      </c>
      <c r="B146" s="2" t="str">
        <f t="shared" si="18"/>
        <v>Apr</v>
      </c>
      <c r="C146" s="2" t="str">
        <f t="shared" si="19"/>
        <v>Q2</v>
      </c>
      <c r="D146" s="2">
        <f t="shared" si="20"/>
        <v>2025</v>
      </c>
      <c r="E146" s="2" t="s">
        <v>20</v>
      </c>
      <c r="F146" s="2" t="s">
        <v>21</v>
      </c>
      <c r="G146" s="2" t="s">
        <v>44</v>
      </c>
      <c r="H146" s="2" t="s">
        <v>45</v>
      </c>
      <c r="I146" s="2" t="s">
        <v>46</v>
      </c>
      <c r="J146" s="2">
        <v>6</v>
      </c>
      <c r="K146" s="3">
        <v>2398.11</v>
      </c>
      <c r="L146" s="3">
        <f t="shared" si="21"/>
        <v>14388.66</v>
      </c>
      <c r="M146" s="3">
        <f>ROUND(L146*0.691,2)</f>
        <v>9942.56</v>
      </c>
      <c r="N146" s="3">
        <f t="shared" si="22"/>
        <v>4446.1000000000004</v>
      </c>
      <c r="O146" s="8">
        <f t="shared" si="23"/>
        <v>0.30900028216665071</v>
      </c>
      <c r="P146" s="2" t="s">
        <v>25</v>
      </c>
      <c r="Q146" s="2" t="s">
        <v>26</v>
      </c>
      <c r="R146" s="3">
        <v>14419.17</v>
      </c>
      <c r="S146" s="3">
        <f t="shared" si="24"/>
        <v>14388.66</v>
      </c>
      <c r="T146" s="8">
        <f t="shared" si="25"/>
        <v>0.99788406683602449</v>
      </c>
      <c r="U146" s="10">
        <f t="shared" si="26"/>
        <v>-2.1159331639754729E-3</v>
      </c>
    </row>
    <row r="147" spans="1:21" x14ac:dyDescent="0.3">
      <c r="A147" s="5">
        <v>45756</v>
      </c>
      <c r="B147" s="2" t="str">
        <f t="shared" si="18"/>
        <v>Apr</v>
      </c>
      <c r="C147" s="2" t="str">
        <f t="shared" si="19"/>
        <v>Q2</v>
      </c>
      <c r="D147" s="2">
        <f t="shared" si="20"/>
        <v>2025</v>
      </c>
      <c r="E147" s="2" t="s">
        <v>27</v>
      </c>
      <c r="F147" s="2" t="s">
        <v>59</v>
      </c>
      <c r="G147" s="2" t="s">
        <v>29</v>
      </c>
      <c r="H147" s="2" t="s">
        <v>30</v>
      </c>
      <c r="I147" s="2" t="s">
        <v>60</v>
      </c>
      <c r="J147" s="2">
        <v>32</v>
      </c>
      <c r="K147" s="3">
        <v>17580.82</v>
      </c>
      <c r="L147" s="3">
        <f t="shared" si="21"/>
        <v>562586.24</v>
      </c>
      <c r="M147" s="3">
        <f>ROUND(L147*0.692,2)</f>
        <v>389309.68</v>
      </c>
      <c r="N147" s="3">
        <f t="shared" si="22"/>
        <v>173276.56</v>
      </c>
      <c r="O147" s="8">
        <f t="shared" si="23"/>
        <v>0.30799999658718991</v>
      </c>
      <c r="P147" s="2" t="s">
        <v>25</v>
      </c>
      <c r="Q147" s="2" t="s">
        <v>26</v>
      </c>
      <c r="R147" s="3">
        <v>636687.80000000005</v>
      </c>
      <c r="S147" s="3">
        <f t="shared" si="24"/>
        <v>562586.24</v>
      </c>
      <c r="T147" s="8">
        <f t="shared" si="25"/>
        <v>0.88361397846793976</v>
      </c>
      <c r="U147" s="10">
        <f t="shared" si="26"/>
        <v>-0.11638602153206022</v>
      </c>
    </row>
    <row r="148" spans="1:21" x14ac:dyDescent="0.3">
      <c r="A148" s="5">
        <v>45756</v>
      </c>
      <c r="B148" s="2" t="str">
        <f t="shared" si="18"/>
        <v>Apr</v>
      </c>
      <c r="C148" s="2" t="str">
        <f t="shared" si="19"/>
        <v>Q2</v>
      </c>
      <c r="D148" s="2">
        <f t="shared" si="20"/>
        <v>2025</v>
      </c>
      <c r="E148" s="2" t="s">
        <v>20</v>
      </c>
      <c r="F148" s="2" t="s">
        <v>21</v>
      </c>
      <c r="G148" s="2" t="s">
        <v>34</v>
      </c>
      <c r="H148" s="2" t="s">
        <v>52</v>
      </c>
      <c r="I148" s="2" t="s">
        <v>71</v>
      </c>
      <c r="J148" s="2">
        <v>14</v>
      </c>
      <c r="K148" s="3">
        <v>658.46</v>
      </c>
      <c r="L148" s="3">
        <f t="shared" si="21"/>
        <v>9218.44</v>
      </c>
      <c r="M148" s="3">
        <f>ROUND(L148*0.628,2)</f>
        <v>5789.18</v>
      </c>
      <c r="N148" s="3">
        <f t="shared" si="22"/>
        <v>3429.26</v>
      </c>
      <c r="O148" s="8">
        <f t="shared" si="23"/>
        <v>0.37200003471303172</v>
      </c>
      <c r="P148" s="2" t="s">
        <v>25</v>
      </c>
      <c r="Q148" s="2" t="s">
        <v>35</v>
      </c>
      <c r="R148" s="3">
        <v>8232.99</v>
      </c>
      <c r="S148" s="3">
        <f t="shared" si="24"/>
        <v>9218.44</v>
      </c>
      <c r="T148" s="8">
        <f t="shared" si="25"/>
        <v>1.1196952747422262</v>
      </c>
      <c r="U148" s="10">
        <f t="shared" si="26"/>
        <v>0.11969527474222619</v>
      </c>
    </row>
    <row r="149" spans="1:21" x14ac:dyDescent="0.3">
      <c r="A149" s="5">
        <v>45758</v>
      </c>
      <c r="B149" s="2" t="str">
        <f t="shared" si="18"/>
        <v>Apr</v>
      </c>
      <c r="C149" s="2" t="str">
        <f t="shared" si="19"/>
        <v>Q2</v>
      </c>
      <c r="D149" s="2">
        <f t="shared" si="20"/>
        <v>2025</v>
      </c>
      <c r="E149" s="2" t="s">
        <v>36</v>
      </c>
      <c r="F149" s="2" t="s">
        <v>79</v>
      </c>
      <c r="G149" s="2" t="s">
        <v>48</v>
      </c>
      <c r="H149" s="2" t="s">
        <v>52</v>
      </c>
      <c r="I149" s="2" t="s">
        <v>71</v>
      </c>
      <c r="J149" s="2">
        <v>10</v>
      </c>
      <c r="K149" s="3">
        <v>569.64</v>
      </c>
      <c r="L149" s="3">
        <f t="shared" si="21"/>
        <v>5696.4</v>
      </c>
      <c r="M149" s="3">
        <f>ROUND(L149*0.701,2)</f>
        <v>3993.18</v>
      </c>
      <c r="N149" s="3">
        <f t="shared" si="22"/>
        <v>1703.2199999999998</v>
      </c>
      <c r="O149" s="8">
        <f t="shared" si="23"/>
        <v>0.29899936802190857</v>
      </c>
      <c r="P149" s="2" t="s">
        <v>41</v>
      </c>
      <c r="Q149" s="2" t="s">
        <v>35</v>
      </c>
      <c r="R149" s="3">
        <v>4851.42</v>
      </c>
      <c r="S149" s="3">
        <f t="shared" si="24"/>
        <v>5696.4</v>
      </c>
      <c r="T149" s="8">
        <f t="shared" si="25"/>
        <v>1.1741716858156992</v>
      </c>
      <c r="U149" s="10">
        <f t="shared" si="26"/>
        <v>0.17417168581569922</v>
      </c>
    </row>
    <row r="150" spans="1:21" x14ac:dyDescent="0.3">
      <c r="A150" s="5">
        <v>45761</v>
      </c>
      <c r="B150" s="2" t="str">
        <f t="shared" si="18"/>
        <v>Apr</v>
      </c>
      <c r="C150" s="2" t="str">
        <f t="shared" si="19"/>
        <v>Q2</v>
      </c>
      <c r="D150" s="2">
        <f t="shared" si="20"/>
        <v>2025</v>
      </c>
      <c r="E150" s="2" t="s">
        <v>32</v>
      </c>
      <c r="F150" s="2" t="s">
        <v>73</v>
      </c>
      <c r="G150" s="2" t="s">
        <v>51</v>
      </c>
      <c r="H150" s="2" t="s">
        <v>39</v>
      </c>
      <c r="I150" s="2" t="s">
        <v>58</v>
      </c>
      <c r="J150" s="2">
        <v>9</v>
      </c>
      <c r="K150" s="3">
        <v>1363.04</v>
      </c>
      <c r="L150" s="3">
        <f t="shared" si="21"/>
        <v>12267.36</v>
      </c>
      <c r="M150" s="3">
        <f>ROUND(L150*0.765,2)</f>
        <v>9384.5300000000007</v>
      </c>
      <c r="N150" s="3">
        <f t="shared" si="22"/>
        <v>2882.83</v>
      </c>
      <c r="O150" s="8">
        <f t="shared" si="23"/>
        <v>0.23500003260685265</v>
      </c>
      <c r="P150" s="2" t="s">
        <v>41</v>
      </c>
      <c r="Q150" s="2" t="s">
        <v>35</v>
      </c>
      <c r="R150" s="3">
        <v>13669.02</v>
      </c>
      <c r="S150" s="3">
        <f t="shared" si="24"/>
        <v>12267.36</v>
      </c>
      <c r="T150" s="8">
        <f t="shared" si="25"/>
        <v>0.89745716957031307</v>
      </c>
      <c r="U150" s="10">
        <f t="shared" si="26"/>
        <v>-0.10254283042968697</v>
      </c>
    </row>
    <row r="151" spans="1:21" x14ac:dyDescent="0.3">
      <c r="A151" s="5">
        <v>45762</v>
      </c>
      <c r="B151" s="2" t="str">
        <f t="shared" si="18"/>
        <v>Apr</v>
      </c>
      <c r="C151" s="2" t="str">
        <f t="shared" si="19"/>
        <v>Q2</v>
      </c>
      <c r="D151" s="2">
        <f t="shared" si="20"/>
        <v>2025</v>
      </c>
      <c r="E151" s="2" t="s">
        <v>27</v>
      </c>
      <c r="F151" s="2" t="s">
        <v>81</v>
      </c>
      <c r="G151" s="2" t="s">
        <v>55</v>
      </c>
      <c r="H151" s="2" t="s">
        <v>45</v>
      </c>
      <c r="I151" s="2" t="s">
        <v>89</v>
      </c>
      <c r="J151" s="2">
        <v>29</v>
      </c>
      <c r="K151" s="3">
        <v>888.88</v>
      </c>
      <c r="L151" s="3">
        <f t="shared" si="21"/>
        <v>25777.52</v>
      </c>
      <c r="M151" s="3">
        <f>ROUND(L151*0.767,2)</f>
        <v>19771.36</v>
      </c>
      <c r="N151" s="3">
        <f t="shared" si="22"/>
        <v>6006.16</v>
      </c>
      <c r="O151" s="8">
        <f t="shared" si="23"/>
        <v>0.23299991620605862</v>
      </c>
      <c r="P151" s="2" t="s">
        <v>25</v>
      </c>
      <c r="Q151" s="2" t="s">
        <v>35</v>
      </c>
      <c r="R151" s="3">
        <v>29548.66</v>
      </c>
      <c r="S151" s="3">
        <f t="shared" si="24"/>
        <v>25777.52</v>
      </c>
      <c r="T151" s="8">
        <f t="shared" si="25"/>
        <v>0.87237526168699364</v>
      </c>
      <c r="U151" s="10">
        <f t="shared" si="26"/>
        <v>-0.12762473831300639</v>
      </c>
    </row>
    <row r="152" spans="1:21" x14ac:dyDescent="0.3">
      <c r="A152" s="5">
        <v>45765</v>
      </c>
      <c r="B152" s="2" t="str">
        <f t="shared" si="18"/>
        <v>Apr</v>
      </c>
      <c r="C152" s="2" t="str">
        <f t="shared" si="19"/>
        <v>Q2</v>
      </c>
      <c r="D152" s="2">
        <f t="shared" si="20"/>
        <v>2025</v>
      </c>
      <c r="E152" s="2" t="s">
        <v>42</v>
      </c>
      <c r="F152" s="2" t="s">
        <v>83</v>
      </c>
      <c r="G152" s="2" t="s">
        <v>55</v>
      </c>
      <c r="H152" s="2" t="s">
        <v>39</v>
      </c>
      <c r="I152" s="2" t="s">
        <v>40</v>
      </c>
      <c r="J152" s="2">
        <v>35</v>
      </c>
      <c r="K152" s="3">
        <v>315.39999999999998</v>
      </c>
      <c r="L152" s="3">
        <f t="shared" si="21"/>
        <v>11039</v>
      </c>
      <c r="M152" s="3">
        <f>ROUND(L152*0.742,2)</f>
        <v>8190.94</v>
      </c>
      <c r="N152" s="3">
        <f t="shared" si="22"/>
        <v>2848.0600000000004</v>
      </c>
      <c r="O152" s="8">
        <f t="shared" si="23"/>
        <v>0.25799981882416889</v>
      </c>
      <c r="P152" s="2" t="s">
        <v>41</v>
      </c>
      <c r="Q152" s="2" t="s">
        <v>26</v>
      </c>
      <c r="R152" s="3">
        <v>12592.17</v>
      </c>
      <c r="S152" s="3">
        <f t="shared" si="24"/>
        <v>11039</v>
      </c>
      <c r="T152" s="8">
        <f t="shared" si="25"/>
        <v>0.87665589012854817</v>
      </c>
      <c r="U152" s="10">
        <f t="shared" si="26"/>
        <v>-0.12334410987145186</v>
      </c>
    </row>
    <row r="153" spans="1:21" x14ac:dyDescent="0.3">
      <c r="A153" s="5">
        <v>45772</v>
      </c>
      <c r="B153" s="2" t="str">
        <f t="shared" si="18"/>
        <v>Apr</v>
      </c>
      <c r="C153" s="2" t="str">
        <f t="shared" si="19"/>
        <v>Q2</v>
      </c>
      <c r="D153" s="2">
        <f t="shared" si="20"/>
        <v>2025</v>
      </c>
      <c r="E153" s="2" t="s">
        <v>27</v>
      </c>
      <c r="F153" s="2" t="s">
        <v>28</v>
      </c>
      <c r="G153" s="2" t="s">
        <v>29</v>
      </c>
      <c r="H153" s="2" t="s">
        <v>52</v>
      </c>
      <c r="I153" s="2" t="s">
        <v>53</v>
      </c>
      <c r="J153" s="2">
        <v>44</v>
      </c>
      <c r="K153" s="3">
        <v>1044.3499999999999</v>
      </c>
      <c r="L153" s="3">
        <f t="shared" si="21"/>
        <v>45951.399999999994</v>
      </c>
      <c r="M153" s="3">
        <f>ROUND(L153*0.748,2)</f>
        <v>34371.65</v>
      </c>
      <c r="N153" s="3">
        <f t="shared" si="22"/>
        <v>11579.749999999993</v>
      </c>
      <c r="O153" s="8">
        <f t="shared" si="23"/>
        <v>0.25199993906605661</v>
      </c>
      <c r="P153" s="2" t="s">
        <v>25</v>
      </c>
      <c r="Q153" s="2" t="s">
        <v>35</v>
      </c>
      <c r="R153" s="3">
        <v>44297.279999999999</v>
      </c>
      <c r="S153" s="3">
        <f t="shared" si="24"/>
        <v>45951.399999999994</v>
      </c>
      <c r="T153" s="8">
        <f t="shared" si="25"/>
        <v>1.0373413446604396</v>
      </c>
      <c r="U153" s="10">
        <f t="shared" si="26"/>
        <v>3.7341344660439542E-2</v>
      </c>
    </row>
    <row r="154" spans="1:21" x14ac:dyDescent="0.3">
      <c r="A154" s="5">
        <v>45778</v>
      </c>
      <c r="B154" s="2" t="str">
        <f t="shared" si="18"/>
        <v>May</v>
      </c>
      <c r="C154" s="2" t="str">
        <f t="shared" si="19"/>
        <v>Q2</v>
      </c>
      <c r="D154" s="2">
        <f t="shared" si="20"/>
        <v>2025</v>
      </c>
      <c r="E154" s="2" t="s">
        <v>20</v>
      </c>
      <c r="F154" s="2" t="s">
        <v>54</v>
      </c>
      <c r="G154" s="2" t="s">
        <v>44</v>
      </c>
      <c r="H154" s="2" t="s">
        <v>23</v>
      </c>
      <c r="I154" s="2" t="s">
        <v>90</v>
      </c>
      <c r="J154" s="2">
        <v>45</v>
      </c>
      <c r="K154" s="3">
        <v>36062.870000000003</v>
      </c>
      <c r="L154" s="3">
        <f t="shared" si="21"/>
        <v>1622829.1500000001</v>
      </c>
      <c r="M154" s="3">
        <f>ROUND(L154*0.695,2)</f>
        <v>1127866.26</v>
      </c>
      <c r="N154" s="3">
        <f t="shared" si="22"/>
        <v>494962.89000000013</v>
      </c>
      <c r="O154" s="8">
        <f t="shared" si="23"/>
        <v>0.30499999953784418</v>
      </c>
      <c r="P154" s="2" t="s">
        <v>25</v>
      </c>
      <c r="Q154" s="2" t="s">
        <v>26</v>
      </c>
      <c r="R154" s="3">
        <v>1670009.47</v>
      </c>
      <c r="S154" s="3">
        <f t="shared" si="24"/>
        <v>1622829.1500000001</v>
      </c>
      <c r="T154" s="8">
        <f t="shared" si="25"/>
        <v>0.97174847158202049</v>
      </c>
      <c r="U154" s="10">
        <f t="shared" si="26"/>
        <v>-2.8251528417979468E-2</v>
      </c>
    </row>
    <row r="155" spans="1:21" x14ac:dyDescent="0.3">
      <c r="A155" s="5">
        <v>45781</v>
      </c>
      <c r="B155" s="2" t="str">
        <f t="shared" si="18"/>
        <v>May</v>
      </c>
      <c r="C155" s="2" t="str">
        <f t="shared" si="19"/>
        <v>Q2</v>
      </c>
      <c r="D155" s="2">
        <f t="shared" si="20"/>
        <v>2025</v>
      </c>
      <c r="E155" s="2" t="s">
        <v>20</v>
      </c>
      <c r="F155" s="2" t="s">
        <v>21</v>
      </c>
      <c r="G155" s="2" t="s">
        <v>66</v>
      </c>
      <c r="H155" s="2" t="s">
        <v>52</v>
      </c>
      <c r="I155" s="2" t="s">
        <v>53</v>
      </c>
      <c r="J155" s="2">
        <v>44</v>
      </c>
      <c r="K155" s="3">
        <v>755.87</v>
      </c>
      <c r="L155" s="3">
        <f t="shared" si="21"/>
        <v>33258.28</v>
      </c>
      <c r="M155" s="3">
        <f>ROUND(L155*0.562,2)</f>
        <v>18691.150000000001</v>
      </c>
      <c r="N155" s="3">
        <f t="shared" si="22"/>
        <v>14567.129999999997</v>
      </c>
      <c r="O155" s="8">
        <f t="shared" si="23"/>
        <v>0.43800010102747339</v>
      </c>
      <c r="P155" s="2" t="s">
        <v>25</v>
      </c>
      <c r="Q155" s="2" t="s">
        <v>26</v>
      </c>
      <c r="R155" s="3">
        <v>29758.15</v>
      </c>
      <c r="S155" s="3">
        <f t="shared" si="24"/>
        <v>33258.28</v>
      </c>
      <c r="T155" s="8">
        <f t="shared" si="25"/>
        <v>1.1176192068391346</v>
      </c>
      <c r="U155" s="10">
        <f t="shared" si="26"/>
        <v>0.11761920683913474</v>
      </c>
    </row>
    <row r="156" spans="1:21" x14ac:dyDescent="0.3">
      <c r="A156" s="5">
        <v>45791</v>
      </c>
      <c r="B156" s="2" t="str">
        <f t="shared" si="18"/>
        <v>May</v>
      </c>
      <c r="C156" s="2" t="str">
        <f t="shared" si="19"/>
        <v>Q2</v>
      </c>
      <c r="D156" s="2">
        <f t="shared" si="20"/>
        <v>2025</v>
      </c>
      <c r="E156" s="2" t="s">
        <v>42</v>
      </c>
      <c r="F156" s="2" t="s">
        <v>47</v>
      </c>
      <c r="G156" s="2" t="s">
        <v>66</v>
      </c>
      <c r="H156" s="2" t="s">
        <v>52</v>
      </c>
      <c r="I156" s="2" t="s">
        <v>53</v>
      </c>
      <c r="J156" s="2">
        <v>43</v>
      </c>
      <c r="K156" s="3">
        <v>558.29999999999995</v>
      </c>
      <c r="L156" s="3">
        <f t="shared" si="21"/>
        <v>24006.899999999998</v>
      </c>
      <c r="M156" s="3">
        <f>ROUND(L156*0.706,2)</f>
        <v>16948.87</v>
      </c>
      <c r="N156" s="3">
        <f t="shared" si="22"/>
        <v>7058.0299999999988</v>
      </c>
      <c r="O156" s="8">
        <f t="shared" si="23"/>
        <v>0.29400005831656728</v>
      </c>
      <c r="P156" s="2" t="s">
        <v>41</v>
      </c>
      <c r="Q156" s="2" t="s">
        <v>35</v>
      </c>
      <c r="R156" s="3">
        <v>23317.78</v>
      </c>
      <c r="S156" s="3">
        <f t="shared" si="24"/>
        <v>24006.899999999998</v>
      </c>
      <c r="T156" s="8">
        <f t="shared" si="25"/>
        <v>1.0295534137469347</v>
      </c>
      <c r="U156" s="10">
        <f t="shared" si="26"/>
        <v>2.9553413746934699E-2</v>
      </c>
    </row>
    <row r="157" spans="1:21" x14ac:dyDescent="0.3">
      <c r="A157" s="5">
        <v>45801</v>
      </c>
      <c r="B157" s="2" t="str">
        <f t="shared" si="18"/>
        <v>May</v>
      </c>
      <c r="C157" s="2" t="str">
        <f t="shared" si="19"/>
        <v>Q2</v>
      </c>
      <c r="D157" s="2">
        <f t="shared" si="20"/>
        <v>2025</v>
      </c>
      <c r="E157" s="2" t="s">
        <v>36</v>
      </c>
      <c r="F157" s="2" t="s">
        <v>79</v>
      </c>
      <c r="G157" s="2" t="s">
        <v>34</v>
      </c>
      <c r="H157" s="2" t="s">
        <v>52</v>
      </c>
      <c r="I157" s="2" t="s">
        <v>84</v>
      </c>
      <c r="J157" s="2">
        <v>33</v>
      </c>
      <c r="K157" s="3">
        <v>888.85</v>
      </c>
      <c r="L157" s="3">
        <f t="shared" si="21"/>
        <v>29332.05</v>
      </c>
      <c r="M157" s="3">
        <f>ROUND(L157*0.679,2)</f>
        <v>19916.46</v>
      </c>
      <c r="N157" s="3">
        <f t="shared" si="22"/>
        <v>9415.59</v>
      </c>
      <c r="O157" s="8">
        <f t="shared" si="23"/>
        <v>0.32100006648018126</v>
      </c>
      <c r="P157" s="2" t="s">
        <v>25</v>
      </c>
      <c r="Q157" s="2" t="s">
        <v>26</v>
      </c>
      <c r="R157" s="3">
        <v>30810.81</v>
      </c>
      <c r="S157" s="3">
        <f t="shared" si="24"/>
        <v>29332.05</v>
      </c>
      <c r="T157" s="8">
        <f t="shared" si="25"/>
        <v>0.95200515663171459</v>
      </c>
      <c r="U157" s="10">
        <f t="shared" si="26"/>
        <v>-4.7994843368285418E-2</v>
      </c>
    </row>
    <row r="158" spans="1:21" x14ac:dyDescent="0.3">
      <c r="A158" s="5">
        <v>45804</v>
      </c>
      <c r="B158" s="2" t="str">
        <f t="shared" si="18"/>
        <v>May</v>
      </c>
      <c r="C158" s="2" t="str">
        <f t="shared" si="19"/>
        <v>Q2</v>
      </c>
      <c r="D158" s="2">
        <f t="shared" si="20"/>
        <v>2025</v>
      </c>
      <c r="E158" s="2" t="s">
        <v>32</v>
      </c>
      <c r="F158" s="2" t="s">
        <v>33</v>
      </c>
      <c r="G158" s="2" t="s">
        <v>55</v>
      </c>
      <c r="H158" s="2" t="s">
        <v>23</v>
      </c>
      <c r="I158" s="2" t="s">
        <v>64</v>
      </c>
      <c r="J158" s="2">
        <v>28</v>
      </c>
      <c r="K158" s="3">
        <v>4792</v>
      </c>
      <c r="L158" s="3">
        <f t="shared" si="21"/>
        <v>134176</v>
      </c>
      <c r="M158" s="3">
        <f>ROUND(L158*0.719,2)</f>
        <v>96472.54</v>
      </c>
      <c r="N158" s="3">
        <f t="shared" si="22"/>
        <v>37703.460000000006</v>
      </c>
      <c r="O158" s="8">
        <f t="shared" si="23"/>
        <v>0.28100002981159078</v>
      </c>
      <c r="P158" s="2" t="s">
        <v>41</v>
      </c>
      <c r="Q158" s="2" t="s">
        <v>26</v>
      </c>
      <c r="R158" s="3">
        <v>138350.76</v>
      </c>
      <c r="S158" s="3">
        <f t="shared" si="24"/>
        <v>134176</v>
      </c>
      <c r="T158" s="8">
        <f t="shared" si="25"/>
        <v>0.96982481339459203</v>
      </c>
      <c r="U158" s="10">
        <f t="shared" si="26"/>
        <v>-3.0175186605407942E-2</v>
      </c>
    </row>
    <row r="159" spans="1:21" x14ac:dyDescent="0.3">
      <c r="A159" s="5">
        <v>45806</v>
      </c>
      <c r="B159" s="2" t="str">
        <f t="shared" si="18"/>
        <v>May</v>
      </c>
      <c r="C159" s="2" t="str">
        <f t="shared" si="19"/>
        <v>Q2</v>
      </c>
      <c r="D159" s="2">
        <f t="shared" si="20"/>
        <v>2025</v>
      </c>
      <c r="E159" s="2" t="s">
        <v>20</v>
      </c>
      <c r="F159" s="2" t="s">
        <v>21</v>
      </c>
      <c r="G159" s="2" t="s">
        <v>57</v>
      </c>
      <c r="H159" s="2" t="s">
        <v>30</v>
      </c>
      <c r="I159" s="2" t="s">
        <v>87</v>
      </c>
      <c r="J159" s="2">
        <v>21</v>
      </c>
      <c r="K159" s="3">
        <v>7040.13</v>
      </c>
      <c r="L159" s="3">
        <f t="shared" si="21"/>
        <v>147842.73000000001</v>
      </c>
      <c r="M159" s="3">
        <f>ROUND(L159*0.765,2)</f>
        <v>113099.69</v>
      </c>
      <c r="N159" s="3">
        <f t="shared" si="22"/>
        <v>34743.040000000008</v>
      </c>
      <c r="O159" s="8">
        <f t="shared" si="23"/>
        <v>0.23499998951588627</v>
      </c>
      <c r="P159" s="2" t="s">
        <v>25</v>
      </c>
      <c r="Q159" s="2" t="s">
        <v>26</v>
      </c>
      <c r="R159" s="3">
        <v>135666.56</v>
      </c>
      <c r="S159" s="3">
        <f t="shared" si="24"/>
        <v>147842.73000000001</v>
      </c>
      <c r="T159" s="8">
        <f t="shared" si="25"/>
        <v>1.0897507093863072</v>
      </c>
      <c r="U159" s="10">
        <f t="shared" si="26"/>
        <v>8.9750709386307234E-2</v>
      </c>
    </row>
    <row r="160" spans="1:21" x14ac:dyDescent="0.3">
      <c r="A160" s="5">
        <v>45807</v>
      </c>
      <c r="B160" s="2" t="str">
        <f t="shared" si="18"/>
        <v>May</v>
      </c>
      <c r="C160" s="2" t="str">
        <f t="shared" si="19"/>
        <v>Q2</v>
      </c>
      <c r="D160" s="2">
        <f t="shared" si="20"/>
        <v>2025</v>
      </c>
      <c r="E160" s="2" t="s">
        <v>42</v>
      </c>
      <c r="F160" s="2" t="s">
        <v>83</v>
      </c>
      <c r="G160" s="2" t="s">
        <v>48</v>
      </c>
      <c r="H160" s="2" t="s">
        <v>39</v>
      </c>
      <c r="I160" s="2" t="s">
        <v>86</v>
      </c>
      <c r="J160" s="2">
        <v>2</v>
      </c>
      <c r="K160" s="3">
        <v>1252.96</v>
      </c>
      <c r="L160" s="3">
        <f t="shared" si="21"/>
        <v>2505.92</v>
      </c>
      <c r="M160" s="3">
        <f>ROUND(L160*0.564,2)</f>
        <v>1413.34</v>
      </c>
      <c r="N160" s="3">
        <f t="shared" si="22"/>
        <v>1092.5800000000002</v>
      </c>
      <c r="O160" s="8">
        <f t="shared" si="23"/>
        <v>0.43599955305835786</v>
      </c>
      <c r="P160" s="2" t="s">
        <v>25</v>
      </c>
      <c r="Q160" s="2" t="s">
        <v>35</v>
      </c>
      <c r="R160" s="3">
        <v>2490.12</v>
      </c>
      <c r="S160" s="3">
        <f t="shared" si="24"/>
        <v>2505.92</v>
      </c>
      <c r="T160" s="8">
        <f t="shared" si="25"/>
        <v>1.006345075739322</v>
      </c>
      <c r="U160" s="10">
        <f t="shared" si="26"/>
        <v>6.3450757393218732E-3</v>
      </c>
    </row>
    <row r="161" spans="1:21" x14ac:dyDescent="0.3">
      <c r="A161" s="5">
        <v>45807</v>
      </c>
      <c r="B161" s="2" t="str">
        <f t="shared" si="18"/>
        <v>May</v>
      </c>
      <c r="C161" s="2" t="str">
        <f t="shared" si="19"/>
        <v>Q2</v>
      </c>
      <c r="D161" s="2">
        <f t="shared" si="20"/>
        <v>2025</v>
      </c>
      <c r="E161" s="2" t="s">
        <v>27</v>
      </c>
      <c r="F161" s="2" t="s">
        <v>78</v>
      </c>
      <c r="G161" s="2" t="s">
        <v>48</v>
      </c>
      <c r="H161" s="2" t="s">
        <v>39</v>
      </c>
      <c r="I161" s="2" t="s">
        <v>86</v>
      </c>
      <c r="J161" s="2">
        <v>44</v>
      </c>
      <c r="K161" s="3">
        <v>1527.77</v>
      </c>
      <c r="L161" s="3">
        <f t="shared" si="21"/>
        <v>67221.88</v>
      </c>
      <c r="M161" s="3">
        <f>ROUND(L161*0.738,2)</f>
        <v>49609.75</v>
      </c>
      <c r="N161" s="3">
        <f t="shared" si="22"/>
        <v>17612.130000000005</v>
      </c>
      <c r="O161" s="8">
        <f t="shared" si="23"/>
        <v>0.26199996191716157</v>
      </c>
      <c r="P161" s="2" t="s">
        <v>41</v>
      </c>
      <c r="Q161" s="2" t="s">
        <v>26</v>
      </c>
      <c r="R161" s="3">
        <v>61916.14</v>
      </c>
      <c r="S161" s="3">
        <f t="shared" si="24"/>
        <v>67221.88</v>
      </c>
      <c r="T161" s="8">
        <f t="shared" si="25"/>
        <v>1.0856923574370108</v>
      </c>
      <c r="U161" s="10">
        <f t="shared" si="26"/>
        <v>8.5692357437010855E-2</v>
      </c>
    </row>
    <row r="162" spans="1:21" x14ac:dyDescent="0.3">
      <c r="A162" s="5">
        <v>45808</v>
      </c>
      <c r="B162" s="2" t="str">
        <f t="shared" si="18"/>
        <v>May</v>
      </c>
      <c r="C162" s="2" t="str">
        <f t="shared" si="19"/>
        <v>Q2</v>
      </c>
      <c r="D162" s="2">
        <f t="shared" si="20"/>
        <v>2025</v>
      </c>
      <c r="E162" s="2" t="s">
        <v>42</v>
      </c>
      <c r="F162" s="2" t="s">
        <v>83</v>
      </c>
      <c r="G162" s="2" t="s">
        <v>22</v>
      </c>
      <c r="H162" s="2" t="s">
        <v>52</v>
      </c>
      <c r="I162" s="2" t="s">
        <v>71</v>
      </c>
      <c r="J162" s="2">
        <v>40</v>
      </c>
      <c r="K162" s="3">
        <v>700.27</v>
      </c>
      <c r="L162" s="3">
        <f t="shared" si="21"/>
        <v>28010.799999999999</v>
      </c>
      <c r="M162" s="3">
        <f>ROUND(L162*0.587,2)</f>
        <v>16442.34</v>
      </c>
      <c r="N162" s="3">
        <f t="shared" si="22"/>
        <v>11568.46</v>
      </c>
      <c r="O162" s="8">
        <f t="shared" si="23"/>
        <v>0.41299998571979379</v>
      </c>
      <c r="P162" s="2" t="s">
        <v>25</v>
      </c>
      <c r="Q162" s="2" t="s">
        <v>35</v>
      </c>
      <c r="R162" s="3">
        <v>26942.34</v>
      </c>
      <c r="S162" s="3">
        <f t="shared" si="24"/>
        <v>28010.799999999999</v>
      </c>
      <c r="T162" s="8">
        <f t="shared" si="25"/>
        <v>1.039657282923458</v>
      </c>
      <c r="U162" s="10">
        <f t="shared" si="26"/>
        <v>3.9657282923457993E-2</v>
      </c>
    </row>
    <row r="163" spans="1:21" x14ac:dyDescent="0.3">
      <c r="A163" s="5">
        <v>45828</v>
      </c>
      <c r="B163" s="2" t="str">
        <f t="shared" si="18"/>
        <v>Jun</v>
      </c>
      <c r="C163" s="2" t="str">
        <f t="shared" si="19"/>
        <v>Q2</v>
      </c>
      <c r="D163" s="2">
        <f t="shared" si="20"/>
        <v>2025</v>
      </c>
      <c r="E163" s="2" t="s">
        <v>27</v>
      </c>
      <c r="F163" s="2" t="s">
        <v>81</v>
      </c>
      <c r="G163" s="2" t="s">
        <v>57</v>
      </c>
      <c r="H163" s="2" t="s">
        <v>39</v>
      </c>
      <c r="I163" s="2" t="s">
        <v>62</v>
      </c>
      <c r="J163" s="2">
        <v>33</v>
      </c>
      <c r="K163" s="3">
        <v>2008.53</v>
      </c>
      <c r="L163" s="3">
        <f t="shared" si="21"/>
        <v>66281.490000000005</v>
      </c>
      <c r="M163" s="3">
        <f>ROUND(L163*0.677,2)</f>
        <v>44872.57</v>
      </c>
      <c r="N163" s="3">
        <f t="shared" si="22"/>
        <v>21408.920000000006</v>
      </c>
      <c r="O163" s="8">
        <f t="shared" si="23"/>
        <v>0.32299998083929621</v>
      </c>
      <c r="P163" s="2" t="s">
        <v>25</v>
      </c>
      <c r="Q163" s="2" t="s">
        <v>26</v>
      </c>
      <c r="R163" s="3">
        <v>64103.22</v>
      </c>
      <c r="S163" s="3">
        <f t="shared" si="24"/>
        <v>66281.490000000005</v>
      </c>
      <c r="T163" s="8">
        <f t="shared" si="25"/>
        <v>1.0339806643098428</v>
      </c>
      <c r="U163" s="10">
        <f t="shared" si="26"/>
        <v>3.3980664309842847E-2</v>
      </c>
    </row>
    <row r="164" spans="1:21" x14ac:dyDescent="0.3">
      <c r="A164" s="5">
        <v>45835</v>
      </c>
      <c r="B164" s="2" t="str">
        <f t="shared" si="18"/>
        <v>Jun</v>
      </c>
      <c r="C164" s="2" t="str">
        <f t="shared" si="19"/>
        <v>Q2</v>
      </c>
      <c r="D164" s="2">
        <f t="shared" si="20"/>
        <v>2025</v>
      </c>
      <c r="E164" s="2" t="s">
        <v>32</v>
      </c>
      <c r="F164" s="2" t="s">
        <v>74</v>
      </c>
      <c r="G164" s="2" t="s">
        <v>44</v>
      </c>
      <c r="H164" s="2" t="s">
        <v>45</v>
      </c>
      <c r="I164" s="2" t="s">
        <v>80</v>
      </c>
      <c r="J164" s="2">
        <v>10</v>
      </c>
      <c r="K164" s="3">
        <v>1131.67</v>
      </c>
      <c r="L164" s="3">
        <f t="shared" si="21"/>
        <v>11316.7</v>
      </c>
      <c r="M164" s="3">
        <f>ROUND(L164*0.609,2)</f>
        <v>6891.87</v>
      </c>
      <c r="N164" s="3">
        <f t="shared" si="22"/>
        <v>4424.8300000000008</v>
      </c>
      <c r="O164" s="8">
        <f t="shared" si="23"/>
        <v>0.39100002650949489</v>
      </c>
      <c r="P164" s="2" t="s">
        <v>41</v>
      </c>
      <c r="Q164" s="2" t="s">
        <v>26</v>
      </c>
      <c r="R164" s="3">
        <v>10208.23</v>
      </c>
      <c r="S164" s="3">
        <f t="shared" si="24"/>
        <v>11316.7</v>
      </c>
      <c r="T164" s="8">
        <f t="shared" si="25"/>
        <v>1.1085859154819202</v>
      </c>
      <c r="U164" s="10">
        <f t="shared" si="26"/>
        <v>0.10858591548192009</v>
      </c>
    </row>
    <row r="165" spans="1:21" x14ac:dyDescent="0.3">
      <c r="A165" s="5">
        <v>45838</v>
      </c>
      <c r="B165" s="2" t="str">
        <f t="shared" si="18"/>
        <v>Jun</v>
      </c>
      <c r="C165" s="2" t="str">
        <f t="shared" si="19"/>
        <v>Q2</v>
      </c>
      <c r="D165" s="2">
        <f t="shared" si="20"/>
        <v>2025</v>
      </c>
      <c r="E165" s="2" t="s">
        <v>42</v>
      </c>
      <c r="F165" s="2" t="s">
        <v>63</v>
      </c>
      <c r="G165" s="2" t="s">
        <v>55</v>
      </c>
      <c r="H165" s="2" t="s">
        <v>52</v>
      </c>
      <c r="I165" s="2" t="s">
        <v>82</v>
      </c>
      <c r="J165" s="2">
        <v>41</v>
      </c>
      <c r="K165" s="3">
        <v>1189</v>
      </c>
      <c r="L165" s="3">
        <f t="shared" si="21"/>
        <v>48749</v>
      </c>
      <c r="M165" s="3">
        <f>ROUND(L165*0.708,2)</f>
        <v>34514.29</v>
      </c>
      <c r="N165" s="3">
        <f t="shared" si="22"/>
        <v>14234.71</v>
      </c>
      <c r="O165" s="8">
        <f t="shared" si="23"/>
        <v>0.29200004102648258</v>
      </c>
      <c r="P165" s="2" t="s">
        <v>25</v>
      </c>
      <c r="Q165" s="2" t="s">
        <v>26</v>
      </c>
      <c r="R165" s="3">
        <v>44648.46</v>
      </c>
      <c r="S165" s="3">
        <f t="shared" si="24"/>
        <v>48749</v>
      </c>
      <c r="T165" s="8">
        <f t="shared" si="25"/>
        <v>1.0918405696411477</v>
      </c>
      <c r="U165" s="10">
        <f t="shared" si="26"/>
        <v>9.1840569641147785E-2</v>
      </c>
    </row>
    <row r="166" spans="1:21" x14ac:dyDescent="0.3">
      <c r="A166" s="5">
        <v>45843</v>
      </c>
      <c r="B166" s="2" t="str">
        <f t="shared" si="18"/>
        <v>Jul</v>
      </c>
      <c r="C166" s="2" t="str">
        <f t="shared" si="19"/>
        <v>Q3</v>
      </c>
      <c r="D166" s="2">
        <f t="shared" si="20"/>
        <v>2025</v>
      </c>
      <c r="E166" s="2" t="s">
        <v>27</v>
      </c>
      <c r="F166" s="2" t="s">
        <v>28</v>
      </c>
      <c r="G166" s="2" t="s">
        <v>34</v>
      </c>
      <c r="H166" s="2" t="s">
        <v>23</v>
      </c>
      <c r="I166" s="2" t="s">
        <v>64</v>
      </c>
      <c r="J166" s="2">
        <v>16</v>
      </c>
      <c r="K166" s="3">
        <v>45101.23</v>
      </c>
      <c r="L166" s="3">
        <f t="shared" si="21"/>
        <v>721619.68</v>
      </c>
      <c r="M166" s="3">
        <f>ROUND(L166*0.606,2)</f>
        <v>437301.53</v>
      </c>
      <c r="N166" s="3">
        <f t="shared" si="22"/>
        <v>284318.15000000002</v>
      </c>
      <c r="O166" s="8">
        <f t="shared" si="23"/>
        <v>0.39399999456777562</v>
      </c>
      <c r="P166" s="2" t="s">
        <v>41</v>
      </c>
      <c r="Q166" s="2" t="s">
        <v>26</v>
      </c>
      <c r="R166" s="3">
        <v>758386.34</v>
      </c>
      <c r="S166" s="3">
        <f t="shared" si="24"/>
        <v>721619.68</v>
      </c>
      <c r="T166" s="8">
        <f t="shared" si="25"/>
        <v>0.95151988101473461</v>
      </c>
      <c r="U166" s="10">
        <f t="shared" si="26"/>
        <v>-4.8480118985265372E-2</v>
      </c>
    </row>
    <row r="167" spans="1:21" x14ac:dyDescent="0.3">
      <c r="A167" s="5">
        <v>45844</v>
      </c>
      <c r="B167" s="2" t="str">
        <f t="shared" si="18"/>
        <v>Jul</v>
      </c>
      <c r="C167" s="2" t="str">
        <f t="shared" si="19"/>
        <v>Q3</v>
      </c>
      <c r="D167" s="2">
        <f t="shared" si="20"/>
        <v>2025</v>
      </c>
      <c r="E167" s="2" t="s">
        <v>42</v>
      </c>
      <c r="F167" s="2" t="s">
        <v>43</v>
      </c>
      <c r="G167" s="2" t="s">
        <v>22</v>
      </c>
      <c r="H167" s="2" t="s">
        <v>52</v>
      </c>
      <c r="I167" s="2" t="s">
        <v>71</v>
      </c>
      <c r="J167" s="2">
        <v>7</v>
      </c>
      <c r="K167" s="3">
        <v>349.93</v>
      </c>
      <c r="L167" s="3">
        <f t="shared" si="21"/>
        <v>2449.5100000000002</v>
      </c>
      <c r="M167" s="3">
        <f>ROUND(L167*0.702,2)</f>
        <v>1719.56</v>
      </c>
      <c r="N167" s="3">
        <f t="shared" si="22"/>
        <v>729.95000000000027</v>
      </c>
      <c r="O167" s="8">
        <f t="shared" si="23"/>
        <v>0.29799837518524119</v>
      </c>
      <c r="P167" s="2" t="s">
        <v>25</v>
      </c>
      <c r="Q167" s="2" t="s">
        <v>35</v>
      </c>
      <c r="R167" s="3">
        <v>2342.44</v>
      </c>
      <c r="S167" s="3">
        <f t="shared" si="24"/>
        <v>2449.5100000000002</v>
      </c>
      <c r="T167" s="8">
        <f t="shared" si="25"/>
        <v>1.0457087481429621</v>
      </c>
      <c r="U167" s="10">
        <f t="shared" si="26"/>
        <v>4.5708748142962108E-2</v>
      </c>
    </row>
    <row r="168" spans="1:21" x14ac:dyDescent="0.3">
      <c r="A168" s="5">
        <v>45846</v>
      </c>
      <c r="B168" s="2" t="str">
        <f t="shared" si="18"/>
        <v>Jul</v>
      </c>
      <c r="C168" s="2" t="str">
        <f t="shared" si="19"/>
        <v>Q3</v>
      </c>
      <c r="D168" s="2">
        <f t="shared" si="20"/>
        <v>2025</v>
      </c>
      <c r="E168" s="2" t="s">
        <v>20</v>
      </c>
      <c r="F168" s="2" t="s">
        <v>21</v>
      </c>
      <c r="G168" s="2" t="s">
        <v>22</v>
      </c>
      <c r="H168" s="2" t="s">
        <v>45</v>
      </c>
      <c r="I168" s="2" t="s">
        <v>80</v>
      </c>
      <c r="J168" s="2">
        <v>28</v>
      </c>
      <c r="K168" s="3">
        <v>2714.72</v>
      </c>
      <c r="L168" s="3">
        <f t="shared" si="21"/>
        <v>76012.159999999989</v>
      </c>
      <c r="M168" s="3">
        <f>ROUND(L168*0.775,2)</f>
        <v>58909.42</v>
      </c>
      <c r="N168" s="3">
        <f t="shared" si="22"/>
        <v>17102.739999999991</v>
      </c>
      <c r="O168" s="8">
        <f t="shared" si="23"/>
        <v>0.22500005262315914</v>
      </c>
      <c r="P168" s="2" t="s">
        <v>41</v>
      </c>
      <c r="Q168" s="2" t="s">
        <v>35</v>
      </c>
      <c r="R168" s="3">
        <v>81949.539999999994</v>
      </c>
      <c r="S168" s="3">
        <f t="shared" si="24"/>
        <v>76012.159999999989</v>
      </c>
      <c r="T168" s="8">
        <f t="shared" si="25"/>
        <v>0.92754834255323448</v>
      </c>
      <c r="U168" s="10">
        <f t="shared" si="26"/>
        <v>-7.2451657446765474E-2</v>
      </c>
    </row>
    <row r="169" spans="1:21" x14ac:dyDescent="0.3">
      <c r="A169" s="5">
        <v>45848</v>
      </c>
      <c r="B169" s="2" t="str">
        <f t="shared" si="18"/>
        <v>Jul</v>
      </c>
      <c r="C169" s="2" t="str">
        <f t="shared" si="19"/>
        <v>Q3</v>
      </c>
      <c r="D169" s="2">
        <f t="shared" si="20"/>
        <v>2025</v>
      </c>
      <c r="E169" s="2" t="s">
        <v>20</v>
      </c>
      <c r="F169" s="2" t="s">
        <v>54</v>
      </c>
      <c r="G169" s="2" t="s">
        <v>48</v>
      </c>
      <c r="H169" s="2" t="s">
        <v>39</v>
      </c>
      <c r="I169" s="2" t="s">
        <v>62</v>
      </c>
      <c r="J169" s="2">
        <v>6</v>
      </c>
      <c r="K169" s="3">
        <v>1667.45</v>
      </c>
      <c r="L169" s="3">
        <f t="shared" si="21"/>
        <v>10004.700000000001</v>
      </c>
      <c r="M169" s="3">
        <f>ROUND(L169*0.575,2)</f>
        <v>5752.7</v>
      </c>
      <c r="N169" s="3">
        <f t="shared" si="22"/>
        <v>4252.0000000000009</v>
      </c>
      <c r="O169" s="8">
        <f t="shared" si="23"/>
        <v>0.42500024988255525</v>
      </c>
      <c r="P169" s="2" t="s">
        <v>25</v>
      </c>
      <c r="Q169" s="2" t="s">
        <v>26</v>
      </c>
      <c r="R169" s="3">
        <v>9249.0400000000009</v>
      </c>
      <c r="S169" s="3">
        <f t="shared" si="24"/>
        <v>10004.700000000001</v>
      </c>
      <c r="T169" s="8">
        <f t="shared" si="25"/>
        <v>1.0817014522588291</v>
      </c>
      <c r="U169" s="10">
        <f t="shared" si="26"/>
        <v>8.1701452258829008E-2</v>
      </c>
    </row>
    <row r="170" spans="1:21" x14ac:dyDescent="0.3">
      <c r="A170" s="5">
        <v>45856</v>
      </c>
      <c r="B170" s="2" t="str">
        <f t="shared" si="18"/>
        <v>Jul</v>
      </c>
      <c r="C170" s="2" t="str">
        <f t="shared" si="19"/>
        <v>Q3</v>
      </c>
      <c r="D170" s="2">
        <f t="shared" si="20"/>
        <v>2025</v>
      </c>
      <c r="E170" s="2" t="s">
        <v>20</v>
      </c>
      <c r="F170" s="2" t="s">
        <v>65</v>
      </c>
      <c r="G170" s="2" t="s">
        <v>51</v>
      </c>
      <c r="H170" s="2" t="s">
        <v>30</v>
      </c>
      <c r="I170" s="2" t="s">
        <v>69</v>
      </c>
      <c r="J170" s="2">
        <v>8</v>
      </c>
      <c r="K170" s="3">
        <v>13421.13</v>
      </c>
      <c r="L170" s="3">
        <f t="shared" si="21"/>
        <v>107369.04</v>
      </c>
      <c r="M170" s="3">
        <f>ROUND(L170*0.699,2)</f>
        <v>75050.960000000006</v>
      </c>
      <c r="N170" s="3">
        <f t="shared" si="22"/>
        <v>32318.079999999987</v>
      </c>
      <c r="O170" s="8">
        <f t="shared" si="23"/>
        <v>0.30099999031378122</v>
      </c>
      <c r="P170" s="2" t="s">
        <v>25</v>
      </c>
      <c r="Q170" s="2" t="s">
        <v>35</v>
      </c>
      <c r="R170" s="3">
        <v>96223.2</v>
      </c>
      <c r="S170" s="3">
        <f t="shared" si="24"/>
        <v>107369.04</v>
      </c>
      <c r="T170" s="8">
        <f t="shared" si="25"/>
        <v>1.1158331878382759</v>
      </c>
      <c r="U170" s="10">
        <f t="shared" si="26"/>
        <v>0.11583318783827598</v>
      </c>
    </row>
    <row r="171" spans="1:21" x14ac:dyDescent="0.3">
      <c r="A171" s="5">
        <v>45856</v>
      </c>
      <c r="B171" s="2" t="str">
        <f t="shared" si="18"/>
        <v>Jul</v>
      </c>
      <c r="C171" s="2" t="str">
        <f t="shared" si="19"/>
        <v>Q3</v>
      </c>
      <c r="D171" s="2">
        <f t="shared" si="20"/>
        <v>2025</v>
      </c>
      <c r="E171" s="2" t="s">
        <v>42</v>
      </c>
      <c r="F171" s="2" t="s">
        <v>83</v>
      </c>
      <c r="G171" s="2" t="s">
        <v>51</v>
      </c>
      <c r="H171" s="2" t="s">
        <v>45</v>
      </c>
      <c r="I171" s="2" t="s">
        <v>75</v>
      </c>
      <c r="J171" s="2">
        <v>31</v>
      </c>
      <c r="K171" s="3">
        <v>3498.74</v>
      </c>
      <c r="L171" s="3">
        <f t="shared" si="21"/>
        <v>108460.93999999999</v>
      </c>
      <c r="M171" s="3">
        <f>ROUND(L171*0.671,2)</f>
        <v>72777.289999999994</v>
      </c>
      <c r="N171" s="3">
        <f t="shared" si="22"/>
        <v>35683.649999999994</v>
      </c>
      <c r="O171" s="8">
        <f t="shared" si="23"/>
        <v>0.32900000682273267</v>
      </c>
      <c r="P171" s="2" t="s">
        <v>41</v>
      </c>
      <c r="Q171" s="2" t="s">
        <v>26</v>
      </c>
      <c r="R171" s="3">
        <v>117219.09</v>
      </c>
      <c r="S171" s="3">
        <f t="shared" si="24"/>
        <v>108460.93999999999</v>
      </c>
      <c r="T171" s="8">
        <f t="shared" si="25"/>
        <v>0.92528392772883661</v>
      </c>
      <c r="U171" s="10">
        <f t="shared" si="26"/>
        <v>-7.471607227116342E-2</v>
      </c>
    </row>
    <row r="172" spans="1:21" x14ac:dyDescent="0.3">
      <c r="A172" s="5">
        <v>45857</v>
      </c>
      <c r="B172" s="2" t="str">
        <f t="shared" si="18"/>
        <v>Jul</v>
      </c>
      <c r="C172" s="2" t="str">
        <f t="shared" si="19"/>
        <v>Q3</v>
      </c>
      <c r="D172" s="2">
        <f t="shared" si="20"/>
        <v>2025</v>
      </c>
      <c r="E172" s="2" t="s">
        <v>27</v>
      </c>
      <c r="F172" s="2" t="s">
        <v>28</v>
      </c>
      <c r="G172" s="2" t="s">
        <v>29</v>
      </c>
      <c r="H172" s="2" t="s">
        <v>30</v>
      </c>
      <c r="I172" s="2" t="s">
        <v>69</v>
      </c>
      <c r="J172" s="2">
        <v>15</v>
      </c>
      <c r="K172" s="3">
        <v>4485.22</v>
      </c>
      <c r="L172" s="3">
        <f t="shared" si="21"/>
        <v>67278.3</v>
      </c>
      <c r="M172" s="3">
        <f>ROUND(L172*0.728,2)</f>
        <v>48978.6</v>
      </c>
      <c r="N172" s="3">
        <f t="shared" si="22"/>
        <v>18299.700000000004</v>
      </c>
      <c r="O172" s="8">
        <f t="shared" si="23"/>
        <v>0.27200003567272069</v>
      </c>
      <c r="P172" s="2" t="s">
        <v>41</v>
      </c>
      <c r="Q172" s="2" t="s">
        <v>26</v>
      </c>
      <c r="R172" s="3">
        <v>77071.759999999995</v>
      </c>
      <c r="S172" s="3">
        <f t="shared" si="24"/>
        <v>67278.3</v>
      </c>
      <c r="T172" s="8">
        <f t="shared" si="25"/>
        <v>0.8729306298441869</v>
      </c>
      <c r="U172" s="10">
        <f t="shared" si="26"/>
        <v>-0.12706937015581313</v>
      </c>
    </row>
    <row r="173" spans="1:21" x14ac:dyDescent="0.3">
      <c r="A173" s="5">
        <v>45858</v>
      </c>
      <c r="B173" s="2" t="str">
        <f t="shared" si="18"/>
        <v>Jul</v>
      </c>
      <c r="C173" s="2" t="str">
        <f t="shared" si="19"/>
        <v>Q3</v>
      </c>
      <c r="D173" s="2">
        <f t="shared" si="20"/>
        <v>2025</v>
      </c>
      <c r="E173" s="2" t="s">
        <v>32</v>
      </c>
      <c r="F173" s="2" t="s">
        <v>70</v>
      </c>
      <c r="G173" s="2" t="s">
        <v>66</v>
      </c>
      <c r="H173" s="2" t="s">
        <v>39</v>
      </c>
      <c r="I173" s="2" t="s">
        <v>86</v>
      </c>
      <c r="J173" s="2">
        <v>30</v>
      </c>
      <c r="K173" s="3">
        <v>1008.52</v>
      </c>
      <c r="L173" s="3">
        <f t="shared" si="21"/>
        <v>30255.599999999999</v>
      </c>
      <c r="M173" s="3">
        <f>ROUND(L173*0.612,2)</f>
        <v>18516.43</v>
      </c>
      <c r="N173" s="3">
        <f t="shared" si="22"/>
        <v>11739.169999999998</v>
      </c>
      <c r="O173" s="8">
        <f t="shared" si="23"/>
        <v>0.38799990745514878</v>
      </c>
      <c r="P173" s="2" t="s">
        <v>41</v>
      </c>
      <c r="Q173" s="2" t="s">
        <v>26</v>
      </c>
      <c r="R173" s="3">
        <v>27999.17</v>
      </c>
      <c r="S173" s="3">
        <f t="shared" si="24"/>
        <v>30255.599999999999</v>
      </c>
      <c r="T173" s="8">
        <f t="shared" si="25"/>
        <v>1.0805891746076759</v>
      </c>
      <c r="U173" s="10">
        <f t="shared" si="26"/>
        <v>8.0589174607675881E-2</v>
      </c>
    </row>
    <row r="174" spans="1:21" x14ac:dyDescent="0.3">
      <c r="A174" s="5">
        <v>45862</v>
      </c>
      <c r="B174" s="2" t="str">
        <f t="shared" si="18"/>
        <v>Jul</v>
      </c>
      <c r="C174" s="2" t="str">
        <f t="shared" si="19"/>
        <v>Q3</v>
      </c>
      <c r="D174" s="2">
        <f t="shared" si="20"/>
        <v>2025</v>
      </c>
      <c r="E174" s="2" t="s">
        <v>32</v>
      </c>
      <c r="F174" s="2" t="s">
        <v>33</v>
      </c>
      <c r="G174" s="2" t="s">
        <v>51</v>
      </c>
      <c r="H174" s="2" t="s">
        <v>23</v>
      </c>
      <c r="I174" s="2" t="s">
        <v>24</v>
      </c>
      <c r="J174" s="2">
        <v>6</v>
      </c>
      <c r="K174" s="3">
        <v>22850.07</v>
      </c>
      <c r="L174" s="3">
        <f t="shared" si="21"/>
        <v>137100.41999999998</v>
      </c>
      <c r="M174" s="3">
        <f>ROUND(L174*0.687,2)</f>
        <v>94187.99</v>
      </c>
      <c r="N174" s="3">
        <f t="shared" si="22"/>
        <v>42912.429999999978</v>
      </c>
      <c r="O174" s="8">
        <f t="shared" si="23"/>
        <v>0.31299998935087131</v>
      </c>
      <c r="P174" s="2" t="s">
        <v>25</v>
      </c>
      <c r="Q174" s="2" t="s">
        <v>26</v>
      </c>
      <c r="R174" s="3">
        <v>148799.42000000001</v>
      </c>
      <c r="S174" s="3">
        <f t="shared" si="24"/>
        <v>137100.41999999998</v>
      </c>
      <c r="T174" s="8">
        <f t="shared" si="25"/>
        <v>0.92137738171291239</v>
      </c>
      <c r="U174" s="10">
        <f t="shared" si="26"/>
        <v>-7.8622618287087595E-2</v>
      </c>
    </row>
    <row r="175" spans="1:21" x14ac:dyDescent="0.3">
      <c r="A175" s="5">
        <v>45868</v>
      </c>
      <c r="B175" s="2" t="str">
        <f t="shared" si="18"/>
        <v>Jul</v>
      </c>
      <c r="C175" s="2" t="str">
        <f t="shared" si="19"/>
        <v>Q3</v>
      </c>
      <c r="D175" s="2">
        <f t="shared" si="20"/>
        <v>2025</v>
      </c>
      <c r="E175" s="2" t="s">
        <v>42</v>
      </c>
      <c r="F175" s="2" t="s">
        <v>63</v>
      </c>
      <c r="G175" s="2" t="s">
        <v>38</v>
      </c>
      <c r="H175" s="2" t="s">
        <v>45</v>
      </c>
      <c r="I175" s="2" t="s">
        <v>89</v>
      </c>
      <c r="J175" s="2">
        <v>38</v>
      </c>
      <c r="K175" s="3">
        <v>3297.69</v>
      </c>
      <c r="L175" s="3">
        <f t="shared" si="21"/>
        <v>125312.22</v>
      </c>
      <c r="M175" s="3">
        <f>ROUND(L175*0.716,2)</f>
        <v>89723.55</v>
      </c>
      <c r="N175" s="3">
        <f t="shared" si="22"/>
        <v>35588.67</v>
      </c>
      <c r="O175" s="8">
        <f t="shared" si="23"/>
        <v>0.2839999961695675</v>
      </c>
      <c r="P175" s="2" t="s">
        <v>41</v>
      </c>
      <c r="Q175" s="2" t="s">
        <v>35</v>
      </c>
      <c r="R175" s="3">
        <v>117612.75</v>
      </c>
      <c r="S175" s="3">
        <f t="shared" si="24"/>
        <v>125312.22</v>
      </c>
      <c r="T175" s="8">
        <f t="shared" si="25"/>
        <v>1.0654645861099243</v>
      </c>
      <c r="U175" s="10">
        <f t="shared" si="26"/>
        <v>6.5464586109924311E-2</v>
      </c>
    </row>
    <row r="176" spans="1:21" x14ac:dyDescent="0.3">
      <c r="A176" s="5">
        <v>45871</v>
      </c>
      <c r="B176" s="2" t="str">
        <f t="shared" si="18"/>
        <v>Aug</v>
      </c>
      <c r="C176" s="2" t="str">
        <f t="shared" si="19"/>
        <v>Q3</v>
      </c>
      <c r="D176" s="2">
        <f t="shared" si="20"/>
        <v>2025</v>
      </c>
      <c r="E176" s="2" t="s">
        <v>20</v>
      </c>
      <c r="F176" s="2" t="s">
        <v>21</v>
      </c>
      <c r="G176" s="2" t="s">
        <v>22</v>
      </c>
      <c r="H176" s="2" t="s">
        <v>30</v>
      </c>
      <c r="I176" s="2" t="s">
        <v>50</v>
      </c>
      <c r="J176" s="2">
        <v>3</v>
      </c>
      <c r="K176" s="3">
        <v>13723.26</v>
      </c>
      <c r="L176" s="3">
        <f t="shared" si="21"/>
        <v>41169.78</v>
      </c>
      <c r="M176" s="3">
        <f>ROUND(L176*0.763,2)</f>
        <v>31412.54</v>
      </c>
      <c r="N176" s="3">
        <f t="shared" si="22"/>
        <v>9757.239999999998</v>
      </c>
      <c r="O176" s="8">
        <f t="shared" si="23"/>
        <v>0.2370000519798745</v>
      </c>
      <c r="P176" s="2" t="s">
        <v>25</v>
      </c>
      <c r="Q176" s="2" t="s">
        <v>26</v>
      </c>
      <c r="R176" s="3">
        <v>43447.65</v>
      </c>
      <c r="S176" s="3">
        <f t="shared" si="24"/>
        <v>41169.78</v>
      </c>
      <c r="T176" s="8">
        <f t="shared" si="25"/>
        <v>0.94757207812160149</v>
      </c>
      <c r="U176" s="10">
        <f t="shared" si="26"/>
        <v>-5.2427921878398544E-2</v>
      </c>
    </row>
    <row r="177" spans="1:21" x14ac:dyDescent="0.3">
      <c r="A177" s="5">
        <v>45877</v>
      </c>
      <c r="B177" s="2" t="str">
        <f t="shared" si="18"/>
        <v>Aug</v>
      </c>
      <c r="C177" s="2" t="str">
        <f t="shared" si="19"/>
        <v>Q3</v>
      </c>
      <c r="D177" s="2">
        <f t="shared" si="20"/>
        <v>2025</v>
      </c>
      <c r="E177" s="2" t="s">
        <v>36</v>
      </c>
      <c r="F177" s="2" t="s">
        <v>79</v>
      </c>
      <c r="G177" s="2" t="s">
        <v>66</v>
      </c>
      <c r="H177" s="2" t="s">
        <v>23</v>
      </c>
      <c r="I177" s="2" t="s">
        <v>88</v>
      </c>
      <c r="J177" s="2">
        <v>25</v>
      </c>
      <c r="K177" s="3">
        <v>45320.55</v>
      </c>
      <c r="L177" s="3">
        <f t="shared" si="21"/>
        <v>1133013.75</v>
      </c>
      <c r="M177" s="3">
        <f>ROUND(L177*0.639,2)</f>
        <v>723995.79</v>
      </c>
      <c r="N177" s="3">
        <f t="shared" si="22"/>
        <v>409017.95999999996</v>
      </c>
      <c r="O177" s="8">
        <f t="shared" si="23"/>
        <v>0.36099999669024313</v>
      </c>
      <c r="P177" s="2" t="s">
        <v>41</v>
      </c>
      <c r="Q177" s="2" t="s">
        <v>35</v>
      </c>
      <c r="R177" s="3">
        <v>1188652.26</v>
      </c>
      <c r="S177" s="3">
        <f t="shared" si="24"/>
        <v>1133013.75</v>
      </c>
      <c r="T177" s="8">
        <f t="shared" si="25"/>
        <v>0.95319193689161874</v>
      </c>
      <c r="U177" s="10">
        <f t="shared" si="26"/>
        <v>-4.6808063108381259E-2</v>
      </c>
    </row>
    <row r="178" spans="1:21" x14ac:dyDescent="0.3">
      <c r="A178" s="5">
        <v>45879</v>
      </c>
      <c r="B178" s="2" t="str">
        <f t="shared" si="18"/>
        <v>Aug</v>
      </c>
      <c r="C178" s="2" t="str">
        <f t="shared" si="19"/>
        <v>Q3</v>
      </c>
      <c r="D178" s="2">
        <f t="shared" si="20"/>
        <v>2025</v>
      </c>
      <c r="E178" s="2" t="s">
        <v>42</v>
      </c>
      <c r="F178" s="2" t="s">
        <v>47</v>
      </c>
      <c r="G178" s="2" t="s">
        <v>66</v>
      </c>
      <c r="H178" s="2" t="s">
        <v>45</v>
      </c>
      <c r="I178" s="2" t="s">
        <v>49</v>
      </c>
      <c r="J178" s="2">
        <v>8</v>
      </c>
      <c r="K178" s="3">
        <v>1173.05</v>
      </c>
      <c r="L178" s="3">
        <f t="shared" si="21"/>
        <v>9384.4</v>
      </c>
      <c r="M178" s="3">
        <f>ROUND(L178*0.556,2)</f>
        <v>5217.7299999999996</v>
      </c>
      <c r="N178" s="3">
        <f t="shared" si="22"/>
        <v>4166.67</v>
      </c>
      <c r="O178" s="8">
        <f t="shared" si="23"/>
        <v>0.44399961638463836</v>
      </c>
      <c r="P178" s="2" t="s">
        <v>25</v>
      </c>
      <c r="Q178" s="2" t="s">
        <v>26</v>
      </c>
      <c r="R178" s="3">
        <v>8500.52</v>
      </c>
      <c r="S178" s="3">
        <f t="shared" si="24"/>
        <v>9384.4</v>
      </c>
      <c r="T178" s="8">
        <f t="shared" si="25"/>
        <v>1.1039795212528174</v>
      </c>
      <c r="U178" s="10">
        <f t="shared" si="26"/>
        <v>0.10397952125281737</v>
      </c>
    </row>
    <row r="179" spans="1:21" x14ac:dyDescent="0.3">
      <c r="A179" s="5">
        <v>45891</v>
      </c>
      <c r="B179" s="2" t="str">
        <f t="shared" si="18"/>
        <v>Aug</v>
      </c>
      <c r="C179" s="2" t="str">
        <f t="shared" si="19"/>
        <v>Q3</v>
      </c>
      <c r="D179" s="2">
        <f t="shared" si="20"/>
        <v>2025</v>
      </c>
      <c r="E179" s="2" t="s">
        <v>36</v>
      </c>
      <c r="F179" s="2" t="s">
        <v>76</v>
      </c>
      <c r="G179" s="2" t="s">
        <v>51</v>
      </c>
      <c r="H179" s="2" t="s">
        <v>52</v>
      </c>
      <c r="I179" s="2" t="s">
        <v>82</v>
      </c>
      <c r="J179" s="2">
        <v>21</v>
      </c>
      <c r="K179" s="3">
        <v>578.77</v>
      </c>
      <c r="L179" s="3">
        <f t="shared" si="21"/>
        <v>12154.17</v>
      </c>
      <c r="M179" s="3">
        <f>ROUND(L179*0.704,2)</f>
        <v>8556.5400000000009</v>
      </c>
      <c r="N179" s="3">
        <f t="shared" si="22"/>
        <v>3597.6299999999992</v>
      </c>
      <c r="O179" s="8">
        <f t="shared" si="23"/>
        <v>0.29599964456643268</v>
      </c>
      <c r="P179" s="2" t="s">
        <v>25</v>
      </c>
      <c r="Q179" s="2" t="s">
        <v>35</v>
      </c>
      <c r="R179" s="3">
        <v>13458.55</v>
      </c>
      <c r="S179" s="3">
        <f t="shared" si="24"/>
        <v>12154.17</v>
      </c>
      <c r="T179" s="8">
        <f t="shared" si="25"/>
        <v>0.90308168413387779</v>
      </c>
      <c r="U179" s="10">
        <f t="shared" si="26"/>
        <v>-9.691831586612222E-2</v>
      </c>
    </row>
    <row r="180" spans="1:21" x14ac:dyDescent="0.3">
      <c r="A180" s="5">
        <v>45904</v>
      </c>
      <c r="B180" s="2" t="str">
        <f t="shared" si="18"/>
        <v>Sep</v>
      </c>
      <c r="C180" s="2" t="str">
        <f t="shared" si="19"/>
        <v>Q3</v>
      </c>
      <c r="D180" s="2">
        <f t="shared" si="20"/>
        <v>2025</v>
      </c>
      <c r="E180" s="2" t="s">
        <v>20</v>
      </c>
      <c r="F180" s="2" t="s">
        <v>72</v>
      </c>
      <c r="G180" s="2" t="s">
        <v>48</v>
      </c>
      <c r="H180" s="2" t="s">
        <v>23</v>
      </c>
      <c r="I180" s="2" t="s">
        <v>90</v>
      </c>
      <c r="J180" s="2">
        <v>35</v>
      </c>
      <c r="K180" s="3">
        <v>27740.36</v>
      </c>
      <c r="L180" s="3">
        <f t="shared" si="21"/>
        <v>970912.6</v>
      </c>
      <c r="M180" s="3">
        <f>ROUND(L180*0.6,2)</f>
        <v>582547.56000000006</v>
      </c>
      <c r="N180" s="3">
        <f t="shared" si="22"/>
        <v>388365.03999999992</v>
      </c>
      <c r="O180" s="8">
        <f t="shared" si="23"/>
        <v>0.39999999999999991</v>
      </c>
      <c r="P180" s="2" t="s">
        <v>41</v>
      </c>
      <c r="Q180" s="2" t="s">
        <v>26</v>
      </c>
      <c r="R180" s="3">
        <v>1076857.68</v>
      </c>
      <c r="S180" s="3">
        <f t="shared" si="24"/>
        <v>970912.6</v>
      </c>
      <c r="T180" s="8">
        <f t="shared" si="25"/>
        <v>0.90161645130301715</v>
      </c>
      <c r="U180" s="10">
        <f t="shared" si="26"/>
        <v>-9.8383548696982834E-2</v>
      </c>
    </row>
    <row r="181" spans="1:21" x14ac:dyDescent="0.3">
      <c r="A181" s="5">
        <v>45908</v>
      </c>
      <c r="B181" s="2" t="str">
        <f t="shared" si="18"/>
        <v>Sep</v>
      </c>
      <c r="C181" s="2" t="str">
        <f t="shared" si="19"/>
        <v>Q3</v>
      </c>
      <c r="D181" s="2">
        <f t="shared" si="20"/>
        <v>2025</v>
      </c>
      <c r="E181" s="2" t="s">
        <v>32</v>
      </c>
      <c r="F181" s="2" t="s">
        <v>33</v>
      </c>
      <c r="G181" s="2" t="s">
        <v>57</v>
      </c>
      <c r="H181" s="2" t="s">
        <v>23</v>
      </c>
      <c r="I181" s="2" t="s">
        <v>24</v>
      </c>
      <c r="J181" s="2">
        <v>22</v>
      </c>
      <c r="K181" s="3">
        <v>4737.55</v>
      </c>
      <c r="L181" s="3">
        <f t="shared" si="21"/>
        <v>104226.1</v>
      </c>
      <c r="M181" s="3">
        <f>ROUND(L181*0.735,2)</f>
        <v>76606.179999999993</v>
      </c>
      <c r="N181" s="3">
        <f t="shared" si="22"/>
        <v>27619.920000000013</v>
      </c>
      <c r="O181" s="8">
        <f t="shared" si="23"/>
        <v>0.26500003358084023</v>
      </c>
      <c r="P181" s="2" t="s">
        <v>41</v>
      </c>
      <c r="Q181" s="2" t="s">
        <v>26</v>
      </c>
      <c r="R181" s="3">
        <v>104830.59</v>
      </c>
      <c r="S181" s="3">
        <f t="shared" si="24"/>
        <v>104226.1</v>
      </c>
      <c r="T181" s="8">
        <f t="shared" si="25"/>
        <v>0.99423364878514953</v>
      </c>
      <c r="U181" s="10">
        <f t="shared" si="26"/>
        <v>-5.7663512148504624E-3</v>
      </c>
    </row>
    <row r="182" spans="1:21" x14ac:dyDescent="0.3">
      <c r="A182" s="5">
        <v>45911</v>
      </c>
      <c r="B182" s="2" t="str">
        <f t="shared" si="18"/>
        <v>Sep</v>
      </c>
      <c r="C182" s="2" t="str">
        <f t="shared" si="19"/>
        <v>Q3</v>
      </c>
      <c r="D182" s="2">
        <f t="shared" si="20"/>
        <v>2025</v>
      </c>
      <c r="E182" s="2" t="s">
        <v>32</v>
      </c>
      <c r="F182" s="2" t="s">
        <v>33</v>
      </c>
      <c r="G182" s="2" t="s">
        <v>44</v>
      </c>
      <c r="H182" s="2" t="s">
        <v>23</v>
      </c>
      <c r="I182" s="2" t="s">
        <v>88</v>
      </c>
      <c r="J182" s="2">
        <v>29</v>
      </c>
      <c r="K182" s="3">
        <v>47554.02</v>
      </c>
      <c r="L182" s="3">
        <f t="shared" si="21"/>
        <v>1379066.5799999998</v>
      </c>
      <c r="M182" s="3">
        <f>ROUND(L182*0.663,2)</f>
        <v>914321.14</v>
      </c>
      <c r="N182" s="3">
        <f t="shared" si="22"/>
        <v>464745.43999999983</v>
      </c>
      <c r="O182" s="8">
        <f t="shared" si="23"/>
        <v>0.33700000184182544</v>
      </c>
      <c r="P182" s="2" t="s">
        <v>25</v>
      </c>
      <c r="Q182" s="2" t="s">
        <v>35</v>
      </c>
      <c r="R182" s="3">
        <v>1319412.79</v>
      </c>
      <c r="S182" s="3">
        <f t="shared" si="24"/>
        <v>1379066.5799999998</v>
      </c>
      <c r="T182" s="8">
        <f t="shared" si="25"/>
        <v>1.0452123781519502</v>
      </c>
      <c r="U182" s="10">
        <f t="shared" si="26"/>
        <v>4.5212378151950311E-2</v>
      </c>
    </row>
    <row r="183" spans="1:21" x14ac:dyDescent="0.3">
      <c r="A183" s="5">
        <v>45919</v>
      </c>
      <c r="B183" s="2" t="str">
        <f t="shared" si="18"/>
        <v>Sep</v>
      </c>
      <c r="C183" s="2" t="str">
        <f t="shared" si="19"/>
        <v>Q3</v>
      </c>
      <c r="D183" s="2">
        <f t="shared" si="20"/>
        <v>2025</v>
      </c>
      <c r="E183" s="2" t="s">
        <v>32</v>
      </c>
      <c r="F183" s="2" t="s">
        <v>33</v>
      </c>
      <c r="G183" s="2" t="s">
        <v>57</v>
      </c>
      <c r="H183" s="2" t="s">
        <v>52</v>
      </c>
      <c r="I183" s="2" t="s">
        <v>61</v>
      </c>
      <c r="J183" s="2">
        <v>31</v>
      </c>
      <c r="K183" s="3">
        <v>930.84</v>
      </c>
      <c r="L183" s="3">
        <f t="shared" si="21"/>
        <v>28856.04</v>
      </c>
      <c r="M183" s="3">
        <f>ROUND(L183*0.654,2)</f>
        <v>18871.849999999999</v>
      </c>
      <c r="N183" s="3">
        <f t="shared" si="22"/>
        <v>9984.1900000000023</v>
      </c>
      <c r="O183" s="8">
        <f t="shared" si="23"/>
        <v>0.34600000554476645</v>
      </c>
      <c r="P183" s="2" t="s">
        <v>25</v>
      </c>
      <c r="Q183" s="2" t="s">
        <v>35</v>
      </c>
      <c r="R183" s="3">
        <v>31035.62</v>
      </c>
      <c r="S183" s="3">
        <f t="shared" si="24"/>
        <v>28856.04</v>
      </c>
      <c r="T183" s="8">
        <f t="shared" si="25"/>
        <v>0.9297716623673058</v>
      </c>
      <c r="U183" s="10">
        <f t="shared" si="26"/>
        <v>-7.0228337632694246E-2</v>
      </c>
    </row>
    <row r="184" spans="1:21" x14ac:dyDescent="0.3">
      <c r="A184" s="5">
        <v>45924</v>
      </c>
      <c r="B184" s="2" t="str">
        <f t="shared" si="18"/>
        <v>Sep</v>
      </c>
      <c r="C184" s="2" t="str">
        <f t="shared" si="19"/>
        <v>Q3</v>
      </c>
      <c r="D184" s="2">
        <f t="shared" si="20"/>
        <v>2025</v>
      </c>
      <c r="E184" s="2" t="s">
        <v>42</v>
      </c>
      <c r="F184" s="2" t="s">
        <v>43</v>
      </c>
      <c r="G184" s="2" t="s">
        <v>34</v>
      </c>
      <c r="H184" s="2" t="s">
        <v>30</v>
      </c>
      <c r="I184" s="2" t="s">
        <v>31</v>
      </c>
      <c r="J184" s="2">
        <v>40</v>
      </c>
      <c r="K184" s="3">
        <v>21373.919999999998</v>
      </c>
      <c r="L184" s="3">
        <f t="shared" si="21"/>
        <v>854956.79999999993</v>
      </c>
      <c r="M184" s="3">
        <f>ROUND(L184*0.736,2)</f>
        <v>629248.19999999995</v>
      </c>
      <c r="N184" s="3">
        <f t="shared" si="22"/>
        <v>225708.59999999998</v>
      </c>
      <c r="O184" s="8">
        <f t="shared" si="23"/>
        <v>0.26400000561431874</v>
      </c>
      <c r="P184" s="2" t="s">
        <v>25</v>
      </c>
      <c r="Q184" s="2" t="s">
        <v>26</v>
      </c>
      <c r="R184" s="3">
        <v>769171.93</v>
      </c>
      <c r="S184" s="3">
        <f t="shared" si="24"/>
        <v>854956.79999999993</v>
      </c>
      <c r="T184" s="8">
        <f t="shared" si="25"/>
        <v>1.1115288619541797</v>
      </c>
      <c r="U184" s="10">
        <f t="shared" si="26"/>
        <v>0.11152886195417958</v>
      </c>
    </row>
    <row r="185" spans="1:21" x14ac:dyDescent="0.3">
      <c r="A185" s="5">
        <v>45924</v>
      </c>
      <c r="B185" s="2" t="str">
        <f t="shared" si="18"/>
        <v>Sep</v>
      </c>
      <c r="C185" s="2" t="str">
        <f t="shared" si="19"/>
        <v>Q3</v>
      </c>
      <c r="D185" s="2">
        <f t="shared" si="20"/>
        <v>2025</v>
      </c>
      <c r="E185" s="2" t="s">
        <v>20</v>
      </c>
      <c r="F185" s="2" t="s">
        <v>65</v>
      </c>
      <c r="G185" s="2" t="s">
        <v>85</v>
      </c>
      <c r="H185" s="2" t="s">
        <v>39</v>
      </c>
      <c r="I185" s="2" t="s">
        <v>86</v>
      </c>
      <c r="J185" s="2">
        <v>20</v>
      </c>
      <c r="K185" s="3">
        <v>1676.03</v>
      </c>
      <c r="L185" s="3">
        <f t="shared" si="21"/>
        <v>33520.6</v>
      </c>
      <c r="M185" s="3">
        <f>ROUND(L185*0.661,2)</f>
        <v>22157.119999999999</v>
      </c>
      <c r="N185" s="3">
        <f t="shared" si="22"/>
        <v>11363.48</v>
      </c>
      <c r="O185" s="8">
        <f t="shared" si="23"/>
        <v>0.33899989856983465</v>
      </c>
      <c r="P185" s="2" t="s">
        <v>25</v>
      </c>
      <c r="Q185" s="2" t="s">
        <v>35</v>
      </c>
      <c r="R185" s="3">
        <v>36584.6</v>
      </c>
      <c r="S185" s="3">
        <f t="shared" si="24"/>
        <v>33520.6</v>
      </c>
      <c r="T185" s="8">
        <f t="shared" si="25"/>
        <v>0.91624891347725546</v>
      </c>
      <c r="U185" s="10">
        <f t="shared" si="26"/>
        <v>-8.3751086522744544E-2</v>
      </c>
    </row>
    <row r="186" spans="1:21" x14ac:dyDescent="0.3">
      <c r="A186" s="5">
        <v>45924</v>
      </c>
      <c r="B186" s="2" t="str">
        <f t="shared" si="18"/>
        <v>Sep</v>
      </c>
      <c r="C186" s="2" t="str">
        <f t="shared" si="19"/>
        <v>Q3</v>
      </c>
      <c r="D186" s="2">
        <f t="shared" si="20"/>
        <v>2025</v>
      </c>
      <c r="E186" s="2" t="s">
        <v>32</v>
      </c>
      <c r="F186" s="2" t="s">
        <v>33</v>
      </c>
      <c r="G186" s="2" t="s">
        <v>85</v>
      </c>
      <c r="H186" s="2" t="s">
        <v>52</v>
      </c>
      <c r="I186" s="2" t="s">
        <v>53</v>
      </c>
      <c r="J186" s="2">
        <v>36</v>
      </c>
      <c r="K186" s="3">
        <v>156.94</v>
      </c>
      <c r="L186" s="3">
        <f t="shared" si="21"/>
        <v>5649.84</v>
      </c>
      <c r="M186" s="3">
        <f>ROUND(L186*0.645,2)</f>
        <v>3644.15</v>
      </c>
      <c r="N186" s="3">
        <f t="shared" si="22"/>
        <v>2005.69</v>
      </c>
      <c r="O186" s="8">
        <f t="shared" si="23"/>
        <v>0.35499943361227931</v>
      </c>
      <c r="P186" s="2" t="s">
        <v>25</v>
      </c>
      <c r="Q186" s="2" t="s">
        <v>35</v>
      </c>
      <c r="R186" s="3">
        <v>4830.71</v>
      </c>
      <c r="S186" s="3">
        <f t="shared" si="24"/>
        <v>5649.84</v>
      </c>
      <c r="T186" s="8">
        <f t="shared" si="25"/>
        <v>1.1695672064768947</v>
      </c>
      <c r="U186" s="10">
        <f t="shared" si="26"/>
        <v>0.16956720647689472</v>
      </c>
    </row>
    <row r="187" spans="1:21" x14ac:dyDescent="0.3">
      <c r="A187" s="5">
        <v>45927</v>
      </c>
      <c r="B187" s="2" t="str">
        <f t="shared" si="18"/>
        <v>Sep</v>
      </c>
      <c r="C187" s="2" t="str">
        <f t="shared" si="19"/>
        <v>Q3</v>
      </c>
      <c r="D187" s="2">
        <f t="shared" si="20"/>
        <v>2025</v>
      </c>
      <c r="E187" s="2" t="s">
        <v>42</v>
      </c>
      <c r="F187" s="2" t="s">
        <v>63</v>
      </c>
      <c r="G187" s="2" t="s">
        <v>34</v>
      </c>
      <c r="H187" s="2" t="s">
        <v>30</v>
      </c>
      <c r="I187" s="2" t="s">
        <v>60</v>
      </c>
      <c r="J187" s="2">
        <v>22</v>
      </c>
      <c r="K187" s="3">
        <v>4032.91</v>
      </c>
      <c r="L187" s="3">
        <f t="shared" si="21"/>
        <v>88724.01999999999</v>
      </c>
      <c r="M187" s="3">
        <f>ROUND(L187*0.73,2)</f>
        <v>64768.53</v>
      </c>
      <c r="N187" s="3">
        <f t="shared" si="22"/>
        <v>23955.489999999991</v>
      </c>
      <c r="O187" s="8">
        <f t="shared" si="23"/>
        <v>0.27000005184616288</v>
      </c>
      <c r="P187" s="2" t="s">
        <v>41</v>
      </c>
      <c r="Q187" s="2" t="s">
        <v>35</v>
      </c>
      <c r="R187" s="3">
        <v>86374.07</v>
      </c>
      <c r="S187" s="3">
        <f t="shared" si="24"/>
        <v>88724.01999999999</v>
      </c>
      <c r="T187" s="8">
        <f t="shared" si="25"/>
        <v>1.0272066605174444</v>
      </c>
      <c r="U187" s="10">
        <f t="shared" si="26"/>
        <v>2.7206660517444442E-2</v>
      </c>
    </row>
    <row r="188" spans="1:21" x14ac:dyDescent="0.3">
      <c r="A188" s="5">
        <v>45930</v>
      </c>
      <c r="B188" s="2" t="str">
        <f t="shared" si="18"/>
        <v>Sep</v>
      </c>
      <c r="C188" s="2" t="str">
        <f t="shared" si="19"/>
        <v>Q3</v>
      </c>
      <c r="D188" s="2">
        <f t="shared" si="20"/>
        <v>2025</v>
      </c>
      <c r="E188" s="2" t="s">
        <v>32</v>
      </c>
      <c r="F188" s="2" t="s">
        <v>73</v>
      </c>
      <c r="G188" s="2" t="s">
        <v>34</v>
      </c>
      <c r="H188" s="2" t="s">
        <v>23</v>
      </c>
      <c r="I188" s="2" t="s">
        <v>90</v>
      </c>
      <c r="J188" s="2">
        <v>22</v>
      </c>
      <c r="K188" s="3">
        <v>23958.9</v>
      </c>
      <c r="L188" s="3">
        <f t="shared" si="21"/>
        <v>527095.80000000005</v>
      </c>
      <c r="M188" s="3">
        <f>ROUND(L188*0.678,2)</f>
        <v>357370.95</v>
      </c>
      <c r="N188" s="3">
        <f t="shared" si="22"/>
        <v>169724.85000000003</v>
      </c>
      <c r="O188" s="8">
        <f t="shared" si="23"/>
        <v>0.32200000455325201</v>
      </c>
      <c r="P188" s="2" t="s">
        <v>41</v>
      </c>
      <c r="Q188" s="2" t="s">
        <v>26</v>
      </c>
      <c r="R188" s="3">
        <v>505844.31</v>
      </c>
      <c r="S188" s="3">
        <f t="shared" si="24"/>
        <v>527095.80000000005</v>
      </c>
      <c r="T188" s="8">
        <f t="shared" si="25"/>
        <v>1.042011918647459</v>
      </c>
      <c r="U188" s="10">
        <f t="shared" si="26"/>
        <v>4.2011918647459033E-2</v>
      </c>
    </row>
    <row r="189" spans="1:21" x14ac:dyDescent="0.3">
      <c r="A189" s="5">
        <v>45932</v>
      </c>
      <c r="B189" s="2" t="str">
        <f t="shared" si="18"/>
        <v>Oct</v>
      </c>
      <c r="C189" s="2" t="str">
        <f t="shared" si="19"/>
        <v>Q4</v>
      </c>
      <c r="D189" s="2">
        <f t="shared" si="20"/>
        <v>2025</v>
      </c>
      <c r="E189" s="2" t="s">
        <v>36</v>
      </c>
      <c r="F189" s="2" t="s">
        <v>79</v>
      </c>
      <c r="G189" s="2" t="s">
        <v>55</v>
      </c>
      <c r="H189" s="2" t="s">
        <v>23</v>
      </c>
      <c r="I189" s="2" t="s">
        <v>77</v>
      </c>
      <c r="J189" s="2">
        <v>26</v>
      </c>
      <c r="K189" s="3">
        <v>20017.830000000002</v>
      </c>
      <c r="L189" s="3">
        <f t="shared" si="21"/>
        <v>520463.58000000007</v>
      </c>
      <c r="M189" s="3">
        <f>ROUND(L189*0.626,2)</f>
        <v>325810.2</v>
      </c>
      <c r="N189" s="3">
        <f t="shared" si="22"/>
        <v>194653.38000000006</v>
      </c>
      <c r="O189" s="8">
        <f t="shared" si="23"/>
        <v>0.37400000207507322</v>
      </c>
      <c r="P189" s="2" t="s">
        <v>25</v>
      </c>
      <c r="Q189" s="2" t="s">
        <v>35</v>
      </c>
      <c r="R189" s="3">
        <v>539230.28</v>
      </c>
      <c r="S189" s="3">
        <f t="shared" si="24"/>
        <v>520463.58000000007</v>
      </c>
      <c r="T189" s="8">
        <f t="shared" si="25"/>
        <v>0.96519724374528826</v>
      </c>
      <c r="U189" s="10">
        <f t="shared" si="26"/>
        <v>-3.4802756254711721E-2</v>
      </c>
    </row>
    <row r="190" spans="1:21" x14ac:dyDescent="0.3">
      <c r="A190" s="5">
        <v>45933</v>
      </c>
      <c r="B190" s="2" t="str">
        <f t="shared" si="18"/>
        <v>Oct</v>
      </c>
      <c r="C190" s="2" t="str">
        <f t="shared" si="19"/>
        <v>Q4</v>
      </c>
      <c r="D190" s="2">
        <f t="shared" si="20"/>
        <v>2025</v>
      </c>
      <c r="E190" s="2" t="s">
        <v>42</v>
      </c>
      <c r="F190" s="2" t="s">
        <v>47</v>
      </c>
      <c r="G190" s="2" t="s">
        <v>55</v>
      </c>
      <c r="H190" s="2" t="s">
        <v>23</v>
      </c>
      <c r="I190" s="2" t="s">
        <v>88</v>
      </c>
      <c r="J190" s="2">
        <v>22</v>
      </c>
      <c r="K190" s="3">
        <v>15983.38</v>
      </c>
      <c r="L190" s="3">
        <f t="shared" si="21"/>
        <v>351634.36</v>
      </c>
      <c r="M190" s="3">
        <f>ROUND(L190*0.624,2)</f>
        <v>219419.84</v>
      </c>
      <c r="N190" s="3">
        <f t="shared" si="22"/>
        <v>132214.51999999999</v>
      </c>
      <c r="O190" s="8">
        <f t="shared" si="23"/>
        <v>0.37600000182007243</v>
      </c>
      <c r="P190" s="2" t="s">
        <v>41</v>
      </c>
      <c r="Q190" s="2" t="s">
        <v>26</v>
      </c>
      <c r="R190" s="3">
        <v>355870.03</v>
      </c>
      <c r="S190" s="3">
        <f t="shared" si="24"/>
        <v>351634.36</v>
      </c>
      <c r="T190" s="8">
        <f t="shared" si="25"/>
        <v>0.98809770522120099</v>
      </c>
      <c r="U190" s="10">
        <f t="shared" si="26"/>
        <v>-1.1902294778798995E-2</v>
      </c>
    </row>
    <row r="191" spans="1:21" x14ac:dyDescent="0.3">
      <c r="A191" s="5">
        <v>45939</v>
      </c>
      <c r="B191" s="2" t="str">
        <f t="shared" si="18"/>
        <v>Oct</v>
      </c>
      <c r="C191" s="2" t="str">
        <f t="shared" si="19"/>
        <v>Q4</v>
      </c>
      <c r="D191" s="2">
        <f t="shared" si="20"/>
        <v>2025</v>
      </c>
      <c r="E191" s="2" t="s">
        <v>32</v>
      </c>
      <c r="F191" s="2" t="s">
        <v>74</v>
      </c>
      <c r="G191" s="2" t="s">
        <v>48</v>
      </c>
      <c r="H191" s="2" t="s">
        <v>30</v>
      </c>
      <c r="I191" s="2" t="s">
        <v>87</v>
      </c>
      <c r="J191" s="2">
        <v>40</v>
      </c>
      <c r="K191" s="3">
        <v>12728.64</v>
      </c>
      <c r="L191" s="3">
        <f t="shared" si="21"/>
        <v>509145.59999999998</v>
      </c>
      <c r="M191" s="3">
        <f>ROUND(L191*0.631,2)</f>
        <v>321270.87</v>
      </c>
      <c r="N191" s="3">
        <f t="shared" si="22"/>
        <v>187874.72999999998</v>
      </c>
      <c r="O191" s="8">
        <f t="shared" si="23"/>
        <v>0.36900000707066893</v>
      </c>
      <c r="P191" s="2" t="s">
        <v>41</v>
      </c>
      <c r="Q191" s="2" t="s">
        <v>26</v>
      </c>
      <c r="R191" s="3">
        <v>519939.04</v>
      </c>
      <c r="S191" s="3">
        <f t="shared" si="24"/>
        <v>509145.59999999998</v>
      </c>
      <c r="T191" s="8">
        <f t="shared" si="25"/>
        <v>0.97924095101610376</v>
      </c>
      <c r="U191" s="10">
        <f t="shared" si="26"/>
        <v>-2.0759048983896272E-2</v>
      </c>
    </row>
    <row r="192" spans="1:21" x14ac:dyDescent="0.3">
      <c r="A192" s="5">
        <v>45942</v>
      </c>
      <c r="B192" s="2" t="str">
        <f t="shared" si="18"/>
        <v>Oct</v>
      </c>
      <c r="C192" s="2" t="str">
        <f t="shared" si="19"/>
        <v>Q4</v>
      </c>
      <c r="D192" s="2">
        <f t="shared" si="20"/>
        <v>2025</v>
      </c>
      <c r="E192" s="2" t="s">
        <v>36</v>
      </c>
      <c r="F192" s="2" t="s">
        <v>37</v>
      </c>
      <c r="G192" s="2" t="s">
        <v>68</v>
      </c>
      <c r="H192" s="2" t="s">
        <v>23</v>
      </c>
      <c r="I192" s="2" t="s">
        <v>88</v>
      </c>
      <c r="J192" s="2">
        <v>23</v>
      </c>
      <c r="K192" s="3">
        <v>47839.9</v>
      </c>
      <c r="L192" s="3">
        <f t="shared" si="21"/>
        <v>1100317.7</v>
      </c>
      <c r="M192" s="3">
        <f>ROUND(L192*0.605,2)</f>
        <v>665692.21</v>
      </c>
      <c r="N192" s="3">
        <f t="shared" si="22"/>
        <v>434625.49</v>
      </c>
      <c r="O192" s="8">
        <f t="shared" si="23"/>
        <v>0.39499999863675739</v>
      </c>
      <c r="P192" s="2" t="s">
        <v>41</v>
      </c>
      <c r="Q192" s="2" t="s">
        <v>35</v>
      </c>
      <c r="R192" s="3">
        <v>1152177.1299999999</v>
      </c>
      <c r="S192" s="3">
        <f t="shared" si="24"/>
        <v>1100317.7</v>
      </c>
      <c r="T192" s="8">
        <f t="shared" si="25"/>
        <v>0.95499005435041051</v>
      </c>
      <c r="U192" s="10">
        <f t="shared" si="26"/>
        <v>-4.5009945649589433E-2</v>
      </c>
    </row>
    <row r="193" spans="1:21" x14ac:dyDescent="0.3">
      <c r="A193" s="5">
        <v>45946</v>
      </c>
      <c r="B193" s="2" t="str">
        <f t="shared" si="18"/>
        <v>Oct</v>
      </c>
      <c r="C193" s="2" t="str">
        <f t="shared" si="19"/>
        <v>Q4</v>
      </c>
      <c r="D193" s="2">
        <f t="shared" si="20"/>
        <v>2025</v>
      </c>
      <c r="E193" s="2" t="s">
        <v>20</v>
      </c>
      <c r="F193" s="2" t="s">
        <v>21</v>
      </c>
      <c r="G193" s="2" t="s">
        <v>48</v>
      </c>
      <c r="H193" s="2" t="s">
        <v>45</v>
      </c>
      <c r="I193" s="2" t="s">
        <v>80</v>
      </c>
      <c r="J193" s="2">
        <v>7</v>
      </c>
      <c r="K193" s="3">
        <v>1091.18</v>
      </c>
      <c r="L193" s="3">
        <f t="shared" si="21"/>
        <v>7638.26</v>
      </c>
      <c r="M193" s="3">
        <f>ROUND(L193*0.706,2)</f>
        <v>5392.61</v>
      </c>
      <c r="N193" s="3">
        <f t="shared" si="22"/>
        <v>2245.6500000000005</v>
      </c>
      <c r="O193" s="8">
        <f t="shared" si="23"/>
        <v>0.29400020423499601</v>
      </c>
      <c r="P193" s="2" t="s">
        <v>41</v>
      </c>
      <c r="Q193" s="2" t="s">
        <v>35</v>
      </c>
      <c r="R193" s="3">
        <v>8536.93</v>
      </c>
      <c r="S193" s="3">
        <f t="shared" si="24"/>
        <v>7638.26</v>
      </c>
      <c r="T193" s="8">
        <f t="shared" si="25"/>
        <v>0.89473147841202871</v>
      </c>
      <c r="U193" s="10">
        <f t="shared" si="26"/>
        <v>-0.10526852158797133</v>
      </c>
    </row>
    <row r="194" spans="1:21" x14ac:dyDescent="0.3">
      <c r="A194" s="5">
        <v>45946</v>
      </c>
      <c r="B194" s="2" t="str">
        <f t="shared" ref="B194:B221" si="27">TEXT(A194,"mmm")</f>
        <v>Oct</v>
      </c>
      <c r="C194" s="2" t="str">
        <f t="shared" ref="C194:C221" si="28">"Q"&amp;ROUNDUP(MONTH(A194)/3,0)</f>
        <v>Q4</v>
      </c>
      <c r="D194" s="2">
        <f t="shared" ref="D194:D221" si="29">YEAR(A194)</f>
        <v>2025</v>
      </c>
      <c r="E194" s="2" t="s">
        <v>32</v>
      </c>
      <c r="F194" s="2" t="s">
        <v>74</v>
      </c>
      <c r="G194" s="2" t="s">
        <v>34</v>
      </c>
      <c r="H194" s="2" t="s">
        <v>45</v>
      </c>
      <c r="I194" s="2" t="s">
        <v>80</v>
      </c>
      <c r="J194" s="2">
        <v>34</v>
      </c>
      <c r="K194" s="3">
        <v>2071.61</v>
      </c>
      <c r="L194" s="3">
        <f t="shared" ref="L194:L221" si="30">J194*K194</f>
        <v>70434.740000000005</v>
      </c>
      <c r="M194" s="3">
        <f>ROUND(L194*0.761,2)</f>
        <v>53600.84</v>
      </c>
      <c r="N194" s="3">
        <f t="shared" ref="N194:N221" si="31">L194-M194</f>
        <v>16833.900000000009</v>
      </c>
      <c r="O194" s="8">
        <f t="shared" ref="O194:O221" si="32">IFERROR(N194/L194,0)</f>
        <v>0.23899995939503726</v>
      </c>
      <c r="P194" s="2" t="s">
        <v>25</v>
      </c>
      <c r="Q194" s="2" t="s">
        <v>26</v>
      </c>
      <c r="R194" s="3">
        <v>72525.48</v>
      </c>
      <c r="S194" s="3">
        <f t="shared" ref="S194:S221" si="33">L194</f>
        <v>70434.740000000005</v>
      </c>
      <c r="T194" s="8">
        <f t="shared" ref="T194:T221" si="34">IFERROR(S194/R194,0)</f>
        <v>0.97117233832854344</v>
      </c>
      <c r="U194" s="10">
        <f t="shared" ref="U194:U221" si="35">IFERROR((S194-R194)/R194,0)</f>
        <v>-2.8827661671456582E-2</v>
      </c>
    </row>
    <row r="195" spans="1:21" x14ac:dyDescent="0.3">
      <c r="A195" s="5">
        <v>45946</v>
      </c>
      <c r="B195" s="2" t="str">
        <f t="shared" si="27"/>
        <v>Oct</v>
      </c>
      <c r="C195" s="2" t="str">
        <f t="shared" si="28"/>
        <v>Q4</v>
      </c>
      <c r="D195" s="2">
        <f t="shared" si="29"/>
        <v>2025</v>
      </c>
      <c r="E195" s="2" t="s">
        <v>27</v>
      </c>
      <c r="F195" s="2" t="s">
        <v>28</v>
      </c>
      <c r="G195" s="2" t="s">
        <v>29</v>
      </c>
      <c r="H195" s="2" t="s">
        <v>30</v>
      </c>
      <c r="I195" s="2" t="s">
        <v>31</v>
      </c>
      <c r="J195" s="2">
        <v>31</v>
      </c>
      <c r="K195" s="3">
        <v>24083.25</v>
      </c>
      <c r="L195" s="3">
        <f t="shared" si="30"/>
        <v>746580.75</v>
      </c>
      <c r="M195" s="3">
        <f>ROUND(L195*0.585,2)</f>
        <v>436749.74</v>
      </c>
      <c r="N195" s="3">
        <f t="shared" si="31"/>
        <v>309831.01</v>
      </c>
      <c r="O195" s="8">
        <f t="shared" si="32"/>
        <v>0.41499999832570023</v>
      </c>
      <c r="P195" s="2" t="s">
        <v>25</v>
      </c>
      <c r="Q195" s="2" t="s">
        <v>35</v>
      </c>
      <c r="R195" s="3">
        <v>802066.97</v>
      </c>
      <c r="S195" s="3">
        <f t="shared" si="33"/>
        <v>746580.75</v>
      </c>
      <c r="T195" s="8">
        <f t="shared" si="34"/>
        <v>0.9308209637407211</v>
      </c>
      <c r="U195" s="10">
        <f t="shared" si="35"/>
        <v>-6.9179036259278917E-2</v>
      </c>
    </row>
    <row r="196" spans="1:21" x14ac:dyDescent="0.3">
      <c r="A196" s="5">
        <v>45950</v>
      </c>
      <c r="B196" s="2" t="str">
        <f t="shared" si="27"/>
        <v>Oct</v>
      </c>
      <c r="C196" s="2" t="str">
        <f t="shared" si="28"/>
        <v>Q4</v>
      </c>
      <c r="D196" s="2">
        <f t="shared" si="29"/>
        <v>2025</v>
      </c>
      <c r="E196" s="2" t="s">
        <v>36</v>
      </c>
      <c r="F196" s="2" t="s">
        <v>79</v>
      </c>
      <c r="G196" s="2" t="s">
        <v>68</v>
      </c>
      <c r="H196" s="2" t="s">
        <v>30</v>
      </c>
      <c r="I196" s="2" t="s">
        <v>31</v>
      </c>
      <c r="J196" s="2">
        <v>35</v>
      </c>
      <c r="K196" s="3">
        <v>19517.259999999998</v>
      </c>
      <c r="L196" s="3">
        <f t="shared" si="30"/>
        <v>683104.1</v>
      </c>
      <c r="M196" s="3">
        <f>ROUND(L196*0.61,2)</f>
        <v>416693.5</v>
      </c>
      <c r="N196" s="3">
        <f t="shared" si="31"/>
        <v>266410.59999999998</v>
      </c>
      <c r="O196" s="8">
        <f t="shared" si="32"/>
        <v>0.39000000146390568</v>
      </c>
      <c r="P196" s="2" t="s">
        <v>25</v>
      </c>
      <c r="Q196" s="2" t="s">
        <v>35</v>
      </c>
      <c r="R196" s="3">
        <v>700438.41</v>
      </c>
      <c r="S196" s="3">
        <f t="shared" si="33"/>
        <v>683104.1</v>
      </c>
      <c r="T196" s="8">
        <f t="shared" si="34"/>
        <v>0.97525219954742337</v>
      </c>
      <c r="U196" s="10">
        <f t="shared" si="35"/>
        <v>-2.4747800452576629E-2</v>
      </c>
    </row>
    <row r="197" spans="1:21" x14ac:dyDescent="0.3">
      <c r="A197" s="5">
        <v>45954</v>
      </c>
      <c r="B197" s="2" t="str">
        <f t="shared" si="27"/>
        <v>Oct</v>
      </c>
      <c r="C197" s="2" t="str">
        <f t="shared" si="28"/>
        <v>Q4</v>
      </c>
      <c r="D197" s="2">
        <f t="shared" si="29"/>
        <v>2025</v>
      </c>
      <c r="E197" s="2" t="s">
        <v>32</v>
      </c>
      <c r="F197" s="2" t="s">
        <v>73</v>
      </c>
      <c r="G197" s="2" t="s">
        <v>29</v>
      </c>
      <c r="H197" s="2" t="s">
        <v>52</v>
      </c>
      <c r="I197" s="2" t="s">
        <v>82</v>
      </c>
      <c r="J197" s="2">
        <v>28</v>
      </c>
      <c r="K197" s="3">
        <v>1164</v>
      </c>
      <c r="L197" s="3">
        <f t="shared" si="30"/>
        <v>32592</v>
      </c>
      <c r="M197" s="3">
        <f>ROUND(L197*0.574,2)</f>
        <v>18707.810000000001</v>
      </c>
      <c r="N197" s="3">
        <f t="shared" si="31"/>
        <v>13884.189999999999</v>
      </c>
      <c r="O197" s="8">
        <f t="shared" si="32"/>
        <v>0.42599993863524788</v>
      </c>
      <c r="P197" s="2" t="s">
        <v>41</v>
      </c>
      <c r="Q197" s="2" t="s">
        <v>26</v>
      </c>
      <c r="R197" s="3">
        <v>28667.34</v>
      </c>
      <c r="S197" s="3">
        <f t="shared" si="33"/>
        <v>32592</v>
      </c>
      <c r="T197" s="8">
        <f t="shared" si="34"/>
        <v>1.1369035285450273</v>
      </c>
      <c r="U197" s="10">
        <f t="shared" si="35"/>
        <v>0.13690352854502719</v>
      </c>
    </row>
    <row r="198" spans="1:21" x14ac:dyDescent="0.3">
      <c r="A198" s="5">
        <v>45956</v>
      </c>
      <c r="B198" s="2" t="str">
        <f t="shared" si="27"/>
        <v>Oct</v>
      </c>
      <c r="C198" s="2" t="str">
        <f t="shared" si="28"/>
        <v>Q4</v>
      </c>
      <c r="D198" s="2">
        <f t="shared" si="29"/>
        <v>2025</v>
      </c>
      <c r="E198" s="2" t="s">
        <v>36</v>
      </c>
      <c r="F198" s="2" t="s">
        <v>67</v>
      </c>
      <c r="G198" s="2" t="s">
        <v>34</v>
      </c>
      <c r="H198" s="2" t="s">
        <v>23</v>
      </c>
      <c r="I198" s="2" t="s">
        <v>24</v>
      </c>
      <c r="J198" s="2">
        <v>32</v>
      </c>
      <c r="K198" s="3">
        <v>20000.96</v>
      </c>
      <c r="L198" s="3">
        <f t="shared" si="30"/>
        <v>640030.71999999997</v>
      </c>
      <c r="M198" s="3">
        <f>ROUND(L198*0.577,2)</f>
        <v>369297.73</v>
      </c>
      <c r="N198" s="3">
        <f t="shared" si="31"/>
        <v>270732.99</v>
      </c>
      <c r="O198" s="8">
        <f t="shared" si="32"/>
        <v>0.42299999287534201</v>
      </c>
      <c r="P198" s="2" t="s">
        <v>41</v>
      </c>
      <c r="Q198" s="2" t="s">
        <v>35</v>
      </c>
      <c r="R198" s="3">
        <v>589109.88</v>
      </c>
      <c r="S198" s="3">
        <f t="shared" si="33"/>
        <v>640030.71999999997</v>
      </c>
      <c r="T198" s="8">
        <f t="shared" si="34"/>
        <v>1.0864369139420984</v>
      </c>
      <c r="U198" s="10">
        <f t="shared" si="35"/>
        <v>8.6436913942098487E-2</v>
      </c>
    </row>
    <row r="199" spans="1:21" x14ac:dyDescent="0.3">
      <c r="A199" s="5">
        <v>45960</v>
      </c>
      <c r="B199" s="2" t="str">
        <f t="shared" si="27"/>
        <v>Oct</v>
      </c>
      <c r="C199" s="2" t="str">
        <f t="shared" si="28"/>
        <v>Q4</v>
      </c>
      <c r="D199" s="2">
        <f t="shared" si="29"/>
        <v>2025</v>
      </c>
      <c r="E199" s="2" t="s">
        <v>36</v>
      </c>
      <c r="F199" s="2" t="s">
        <v>76</v>
      </c>
      <c r="G199" s="2" t="s">
        <v>85</v>
      </c>
      <c r="H199" s="2" t="s">
        <v>30</v>
      </c>
      <c r="I199" s="2" t="s">
        <v>87</v>
      </c>
      <c r="J199" s="2">
        <v>42</v>
      </c>
      <c r="K199" s="3">
        <v>10405.11</v>
      </c>
      <c r="L199" s="3">
        <f t="shared" si="30"/>
        <v>437014.62</v>
      </c>
      <c r="M199" s="3">
        <f>ROUND(L199*0.564,2)</f>
        <v>246476.25</v>
      </c>
      <c r="N199" s="3">
        <f t="shared" si="31"/>
        <v>190538.37</v>
      </c>
      <c r="O199" s="8">
        <f t="shared" si="32"/>
        <v>0.43599999011474716</v>
      </c>
      <c r="P199" s="2" t="s">
        <v>41</v>
      </c>
      <c r="Q199" s="2" t="s">
        <v>26</v>
      </c>
      <c r="R199" s="3">
        <v>472245.65</v>
      </c>
      <c r="S199" s="3">
        <f t="shared" si="33"/>
        <v>437014.62</v>
      </c>
      <c r="T199" s="8">
        <f t="shared" si="34"/>
        <v>0.9253968141368798</v>
      </c>
      <c r="U199" s="10">
        <f t="shared" si="35"/>
        <v>-7.460318586312023E-2</v>
      </c>
    </row>
    <row r="200" spans="1:21" x14ac:dyDescent="0.3">
      <c r="A200" s="5">
        <v>45965</v>
      </c>
      <c r="B200" s="2" t="str">
        <f t="shared" si="27"/>
        <v>Nov</v>
      </c>
      <c r="C200" s="2" t="str">
        <f t="shared" si="28"/>
        <v>Q4</v>
      </c>
      <c r="D200" s="2">
        <f t="shared" si="29"/>
        <v>2025</v>
      </c>
      <c r="E200" s="2" t="s">
        <v>32</v>
      </c>
      <c r="F200" s="2" t="s">
        <v>33</v>
      </c>
      <c r="G200" s="2" t="s">
        <v>66</v>
      </c>
      <c r="H200" s="2" t="s">
        <v>23</v>
      </c>
      <c r="I200" s="2" t="s">
        <v>77</v>
      </c>
      <c r="J200" s="2">
        <v>40</v>
      </c>
      <c r="K200" s="3">
        <v>32310.27</v>
      </c>
      <c r="L200" s="3">
        <f t="shared" si="30"/>
        <v>1292410.8</v>
      </c>
      <c r="M200" s="3">
        <f>ROUND(L200*0.724,2)</f>
        <v>935705.42</v>
      </c>
      <c r="N200" s="3">
        <f t="shared" si="31"/>
        <v>356705.38</v>
      </c>
      <c r="O200" s="8">
        <f t="shared" si="32"/>
        <v>0.27599999938100178</v>
      </c>
      <c r="P200" s="2" t="s">
        <v>41</v>
      </c>
      <c r="Q200" s="2" t="s">
        <v>26</v>
      </c>
      <c r="R200" s="3">
        <v>1341034.68</v>
      </c>
      <c r="S200" s="3">
        <f t="shared" si="33"/>
        <v>1292410.8</v>
      </c>
      <c r="T200" s="8">
        <f t="shared" si="34"/>
        <v>0.96374151934683761</v>
      </c>
      <c r="U200" s="10">
        <f t="shared" si="35"/>
        <v>-3.6258480653162443E-2</v>
      </c>
    </row>
    <row r="201" spans="1:21" x14ac:dyDescent="0.3">
      <c r="A201" s="5">
        <v>45966</v>
      </c>
      <c r="B201" s="2" t="str">
        <f t="shared" si="27"/>
        <v>Nov</v>
      </c>
      <c r="C201" s="2" t="str">
        <f t="shared" si="28"/>
        <v>Q4</v>
      </c>
      <c r="D201" s="2">
        <f t="shared" si="29"/>
        <v>2025</v>
      </c>
      <c r="E201" s="2" t="s">
        <v>32</v>
      </c>
      <c r="F201" s="2" t="s">
        <v>70</v>
      </c>
      <c r="G201" s="2" t="s">
        <v>29</v>
      </c>
      <c r="H201" s="2" t="s">
        <v>23</v>
      </c>
      <c r="I201" s="2" t="s">
        <v>24</v>
      </c>
      <c r="J201" s="2">
        <v>42</v>
      </c>
      <c r="K201" s="3">
        <v>7170.31</v>
      </c>
      <c r="L201" s="3">
        <f t="shared" si="30"/>
        <v>301153.02</v>
      </c>
      <c r="M201" s="3">
        <f>ROUND(L201*0.727,2)</f>
        <v>218938.25</v>
      </c>
      <c r="N201" s="3">
        <f t="shared" si="31"/>
        <v>82214.770000000019</v>
      </c>
      <c r="O201" s="8">
        <f t="shared" si="32"/>
        <v>0.27299998519025315</v>
      </c>
      <c r="P201" s="2" t="s">
        <v>41</v>
      </c>
      <c r="Q201" s="2" t="s">
        <v>35</v>
      </c>
      <c r="R201" s="3">
        <v>279890.64</v>
      </c>
      <c r="S201" s="3">
        <f t="shared" si="33"/>
        <v>301153.02</v>
      </c>
      <c r="T201" s="8">
        <f t="shared" si="34"/>
        <v>1.0759667418674665</v>
      </c>
      <c r="U201" s="10">
        <f t="shared" si="35"/>
        <v>7.5966741867466533E-2</v>
      </c>
    </row>
    <row r="202" spans="1:21" x14ac:dyDescent="0.3">
      <c r="A202" s="5">
        <v>45976</v>
      </c>
      <c r="B202" s="2" t="str">
        <f t="shared" si="27"/>
        <v>Nov</v>
      </c>
      <c r="C202" s="2" t="str">
        <f t="shared" si="28"/>
        <v>Q4</v>
      </c>
      <c r="D202" s="2">
        <f t="shared" si="29"/>
        <v>2025</v>
      </c>
      <c r="E202" s="2" t="s">
        <v>20</v>
      </c>
      <c r="F202" s="2" t="s">
        <v>21</v>
      </c>
      <c r="G202" s="2" t="s">
        <v>66</v>
      </c>
      <c r="H202" s="2" t="s">
        <v>30</v>
      </c>
      <c r="I202" s="2" t="s">
        <v>31</v>
      </c>
      <c r="J202" s="2">
        <v>10</v>
      </c>
      <c r="K202" s="3">
        <v>4961.3100000000004</v>
      </c>
      <c r="L202" s="3">
        <f t="shared" si="30"/>
        <v>49613.100000000006</v>
      </c>
      <c r="M202" s="3">
        <f>ROUND(L202*0.552,2)</f>
        <v>27386.43</v>
      </c>
      <c r="N202" s="3">
        <f t="shared" si="31"/>
        <v>22226.670000000006</v>
      </c>
      <c r="O202" s="8">
        <f t="shared" si="32"/>
        <v>0.44800002418716028</v>
      </c>
      <c r="P202" s="2" t="s">
        <v>25</v>
      </c>
      <c r="Q202" s="2" t="s">
        <v>26</v>
      </c>
      <c r="R202" s="3">
        <v>49698.43</v>
      </c>
      <c r="S202" s="3">
        <f t="shared" si="33"/>
        <v>49613.100000000006</v>
      </c>
      <c r="T202" s="8">
        <f t="shared" si="34"/>
        <v>0.99828304435371507</v>
      </c>
      <c r="U202" s="10">
        <f t="shared" si="35"/>
        <v>-1.7169556462848922E-3</v>
      </c>
    </row>
    <row r="203" spans="1:21" x14ac:dyDescent="0.3">
      <c r="A203" s="5">
        <v>45978</v>
      </c>
      <c r="B203" s="2" t="str">
        <f t="shared" si="27"/>
        <v>Nov</v>
      </c>
      <c r="C203" s="2" t="str">
        <f t="shared" si="28"/>
        <v>Q4</v>
      </c>
      <c r="D203" s="2">
        <f t="shared" si="29"/>
        <v>2025</v>
      </c>
      <c r="E203" s="2" t="s">
        <v>32</v>
      </c>
      <c r="F203" s="2" t="s">
        <v>73</v>
      </c>
      <c r="G203" s="2" t="s">
        <v>85</v>
      </c>
      <c r="H203" s="2" t="s">
        <v>52</v>
      </c>
      <c r="I203" s="2" t="s">
        <v>84</v>
      </c>
      <c r="J203" s="2">
        <v>24</v>
      </c>
      <c r="K203" s="3">
        <v>529.91999999999996</v>
      </c>
      <c r="L203" s="3">
        <f t="shared" si="30"/>
        <v>12718.079999999998</v>
      </c>
      <c r="M203" s="3">
        <f>ROUND(L203*0.621,2)</f>
        <v>7897.93</v>
      </c>
      <c r="N203" s="3">
        <f t="shared" si="31"/>
        <v>4820.1499999999978</v>
      </c>
      <c r="O203" s="8">
        <f t="shared" si="32"/>
        <v>0.37899981758252804</v>
      </c>
      <c r="P203" s="2" t="s">
        <v>25</v>
      </c>
      <c r="Q203" s="2" t="s">
        <v>35</v>
      </c>
      <c r="R203" s="3">
        <v>14439.48</v>
      </c>
      <c r="S203" s="3">
        <f t="shared" si="33"/>
        <v>12718.079999999998</v>
      </c>
      <c r="T203" s="8">
        <f t="shared" si="34"/>
        <v>0.88078518062977329</v>
      </c>
      <c r="U203" s="10">
        <f t="shared" si="35"/>
        <v>-0.11921481937022674</v>
      </c>
    </row>
    <row r="204" spans="1:21" x14ac:dyDescent="0.3">
      <c r="A204" s="5">
        <v>45979</v>
      </c>
      <c r="B204" s="2" t="str">
        <f t="shared" si="27"/>
        <v>Nov</v>
      </c>
      <c r="C204" s="2" t="str">
        <f t="shared" si="28"/>
        <v>Q4</v>
      </c>
      <c r="D204" s="2">
        <f t="shared" si="29"/>
        <v>2025</v>
      </c>
      <c r="E204" s="2" t="s">
        <v>36</v>
      </c>
      <c r="F204" s="2" t="s">
        <v>37</v>
      </c>
      <c r="G204" s="2" t="s">
        <v>57</v>
      </c>
      <c r="H204" s="2" t="s">
        <v>30</v>
      </c>
      <c r="I204" s="2" t="s">
        <v>69</v>
      </c>
      <c r="J204" s="2">
        <v>39</v>
      </c>
      <c r="K204" s="3">
        <v>6569.76</v>
      </c>
      <c r="L204" s="3">
        <f t="shared" si="30"/>
        <v>256220.64</v>
      </c>
      <c r="M204" s="3">
        <f>ROUND(L204*0.706,2)</f>
        <v>180891.77</v>
      </c>
      <c r="N204" s="3">
        <f t="shared" si="31"/>
        <v>75328.870000000024</v>
      </c>
      <c r="O204" s="8">
        <f t="shared" si="32"/>
        <v>0.2940000071813107</v>
      </c>
      <c r="P204" s="2" t="s">
        <v>41</v>
      </c>
      <c r="Q204" s="2" t="s">
        <v>26</v>
      </c>
      <c r="R204" s="3">
        <v>251468.22</v>
      </c>
      <c r="S204" s="3">
        <f t="shared" si="33"/>
        <v>256220.64</v>
      </c>
      <c r="T204" s="8">
        <f t="shared" si="34"/>
        <v>1.0188986902599462</v>
      </c>
      <c r="U204" s="10">
        <f t="shared" si="35"/>
        <v>1.8898690259946217E-2</v>
      </c>
    </row>
    <row r="205" spans="1:21" x14ac:dyDescent="0.3">
      <c r="A205" s="5">
        <v>45980</v>
      </c>
      <c r="B205" s="2" t="str">
        <f t="shared" si="27"/>
        <v>Nov</v>
      </c>
      <c r="C205" s="2" t="str">
        <f t="shared" si="28"/>
        <v>Q4</v>
      </c>
      <c r="D205" s="2">
        <f t="shared" si="29"/>
        <v>2025</v>
      </c>
      <c r="E205" s="2" t="s">
        <v>27</v>
      </c>
      <c r="F205" s="2" t="s">
        <v>81</v>
      </c>
      <c r="G205" s="2" t="s">
        <v>66</v>
      </c>
      <c r="H205" s="2" t="s">
        <v>45</v>
      </c>
      <c r="I205" s="2" t="s">
        <v>46</v>
      </c>
      <c r="J205" s="2">
        <v>38</v>
      </c>
      <c r="K205" s="3">
        <v>2711.74</v>
      </c>
      <c r="L205" s="3">
        <f t="shared" si="30"/>
        <v>103046.12</v>
      </c>
      <c r="M205" s="3">
        <f>ROUND(L205*0.567,2)</f>
        <v>58427.15</v>
      </c>
      <c r="N205" s="3">
        <f t="shared" si="31"/>
        <v>44618.969999999994</v>
      </c>
      <c r="O205" s="8">
        <f t="shared" si="32"/>
        <v>0.43300000038817565</v>
      </c>
      <c r="P205" s="2" t="s">
        <v>41</v>
      </c>
      <c r="Q205" s="2" t="s">
        <v>26</v>
      </c>
      <c r="R205" s="3">
        <v>100687.31</v>
      </c>
      <c r="S205" s="3">
        <f t="shared" si="33"/>
        <v>103046.12</v>
      </c>
      <c r="T205" s="8">
        <f t="shared" si="34"/>
        <v>1.0234270833136767</v>
      </c>
      <c r="U205" s="10">
        <f t="shared" si="35"/>
        <v>2.3427083313676746E-2</v>
      </c>
    </row>
    <row r="206" spans="1:21" x14ac:dyDescent="0.3">
      <c r="A206" s="5">
        <v>45984</v>
      </c>
      <c r="B206" s="2" t="str">
        <f t="shared" si="27"/>
        <v>Nov</v>
      </c>
      <c r="C206" s="2" t="str">
        <f t="shared" si="28"/>
        <v>Q4</v>
      </c>
      <c r="D206" s="2">
        <f t="shared" si="29"/>
        <v>2025</v>
      </c>
      <c r="E206" s="2" t="s">
        <v>27</v>
      </c>
      <c r="F206" s="2" t="s">
        <v>59</v>
      </c>
      <c r="G206" s="2" t="s">
        <v>22</v>
      </c>
      <c r="H206" s="2" t="s">
        <v>30</v>
      </c>
      <c r="I206" s="2" t="s">
        <v>87</v>
      </c>
      <c r="J206" s="2">
        <v>15</v>
      </c>
      <c r="K206" s="3">
        <v>15498.86</v>
      </c>
      <c r="L206" s="3">
        <f t="shared" si="30"/>
        <v>232482.90000000002</v>
      </c>
      <c r="M206" s="3">
        <f>ROUND(L206*0.767,2)</f>
        <v>178314.38</v>
      </c>
      <c r="N206" s="3">
        <f t="shared" si="31"/>
        <v>54168.520000000019</v>
      </c>
      <c r="O206" s="8">
        <f t="shared" si="32"/>
        <v>0.23300001849598406</v>
      </c>
      <c r="P206" s="2" t="s">
        <v>25</v>
      </c>
      <c r="Q206" s="2" t="s">
        <v>26</v>
      </c>
      <c r="R206" s="3">
        <v>266118.08</v>
      </c>
      <c r="S206" s="3">
        <f t="shared" si="33"/>
        <v>232482.90000000002</v>
      </c>
      <c r="T206" s="8">
        <f t="shared" si="34"/>
        <v>0.87360806150412629</v>
      </c>
      <c r="U206" s="10">
        <f t="shared" si="35"/>
        <v>-0.12639193849587368</v>
      </c>
    </row>
    <row r="207" spans="1:21" x14ac:dyDescent="0.3">
      <c r="A207" s="5">
        <v>45985</v>
      </c>
      <c r="B207" s="2" t="str">
        <f t="shared" si="27"/>
        <v>Nov</v>
      </c>
      <c r="C207" s="2" t="str">
        <f t="shared" si="28"/>
        <v>Q4</v>
      </c>
      <c r="D207" s="2">
        <f t="shared" si="29"/>
        <v>2025</v>
      </c>
      <c r="E207" s="2" t="s">
        <v>32</v>
      </c>
      <c r="F207" s="2" t="s">
        <v>70</v>
      </c>
      <c r="G207" s="2" t="s">
        <v>66</v>
      </c>
      <c r="H207" s="2" t="s">
        <v>30</v>
      </c>
      <c r="I207" s="2" t="s">
        <v>69</v>
      </c>
      <c r="J207" s="2">
        <v>23</v>
      </c>
      <c r="K207" s="3">
        <v>14267.05</v>
      </c>
      <c r="L207" s="3">
        <f t="shared" si="30"/>
        <v>328142.14999999997</v>
      </c>
      <c r="M207" s="3">
        <f>ROUND(L207*0.562,2)</f>
        <v>184415.89</v>
      </c>
      <c r="N207" s="3">
        <f t="shared" si="31"/>
        <v>143726.25999999995</v>
      </c>
      <c r="O207" s="8">
        <f t="shared" si="32"/>
        <v>0.43799999481931828</v>
      </c>
      <c r="P207" s="2" t="s">
        <v>41</v>
      </c>
      <c r="Q207" s="2" t="s">
        <v>35</v>
      </c>
      <c r="R207" s="3">
        <v>321948.95</v>
      </c>
      <c r="S207" s="3">
        <f t="shared" si="33"/>
        <v>328142.14999999997</v>
      </c>
      <c r="T207" s="8">
        <f t="shared" si="34"/>
        <v>1.0192365901488418</v>
      </c>
      <c r="U207" s="10">
        <f t="shared" si="35"/>
        <v>1.9236590148841774E-2</v>
      </c>
    </row>
    <row r="208" spans="1:21" x14ac:dyDescent="0.3">
      <c r="A208" s="5">
        <v>45988</v>
      </c>
      <c r="B208" s="2" t="str">
        <f t="shared" si="27"/>
        <v>Nov</v>
      </c>
      <c r="C208" s="2" t="str">
        <f t="shared" si="28"/>
        <v>Q4</v>
      </c>
      <c r="D208" s="2">
        <f t="shared" si="29"/>
        <v>2025</v>
      </c>
      <c r="E208" s="2" t="s">
        <v>42</v>
      </c>
      <c r="F208" s="2" t="s">
        <v>43</v>
      </c>
      <c r="G208" s="2" t="s">
        <v>51</v>
      </c>
      <c r="H208" s="2" t="s">
        <v>39</v>
      </c>
      <c r="I208" s="2" t="s">
        <v>56</v>
      </c>
      <c r="J208" s="2">
        <v>30</v>
      </c>
      <c r="K208" s="3">
        <v>2059.8000000000002</v>
      </c>
      <c r="L208" s="3">
        <f t="shared" si="30"/>
        <v>61794.000000000007</v>
      </c>
      <c r="M208" s="3">
        <f>ROUND(L208*0.58,2)</f>
        <v>35840.519999999997</v>
      </c>
      <c r="N208" s="3">
        <f t="shared" si="31"/>
        <v>25953.48000000001</v>
      </c>
      <c r="O208" s="8">
        <f t="shared" si="32"/>
        <v>0.4200000000000001</v>
      </c>
      <c r="P208" s="2" t="s">
        <v>41</v>
      </c>
      <c r="Q208" s="2" t="s">
        <v>35</v>
      </c>
      <c r="R208" s="3">
        <v>60226.12</v>
      </c>
      <c r="S208" s="3">
        <f t="shared" si="33"/>
        <v>61794.000000000007</v>
      </c>
      <c r="T208" s="8">
        <f t="shared" si="34"/>
        <v>1.0260332227943625</v>
      </c>
      <c r="U208" s="10">
        <f t="shared" si="35"/>
        <v>2.603322279436239E-2</v>
      </c>
    </row>
    <row r="209" spans="1:21" x14ac:dyDescent="0.3">
      <c r="A209" s="5">
        <v>45990</v>
      </c>
      <c r="B209" s="2" t="str">
        <f t="shared" si="27"/>
        <v>Nov</v>
      </c>
      <c r="C209" s="2" t="str">
        <f t="shared" si="28"/>
        <v>Q4</v>
      </c>
      <c r="D209" s="2">
        <f t="shared" si="29"/>
        <v>2025</v>
      </c>
      <c r="E209" s="2" t="s">
        <v>32</v>
      </c>
      <c r="F209" s="2" t="s">
        <v>73</v>
      </c>
      <c r="G209" s="2" t="s">
        <v>48</v>
      </c>
      <c r="H209" s="2" t="s">
        <v>52</v>
      </c>
      <c r="I209" s="2" t="s">
        <v>61</v>
      </c>
      <c r="J209" s="2">
        <v>19</v>
      </c>
      <c r="K209" s="3">
        <v>610.38</v>
      </c>
      <c r="L209" s="3">
        <f t="shared" si="30"/>
        <v>11597.22</v>
      </c>
      <c r="M209" s="3">
        <f>ROUND(L209*0.741,2)</f>
        <v>8593.5400000000009</v>
      </c>
      <c r="N209" s="3">
        <f t="shared" si="31"/>
        <v>3003.6799999999985</v>
      </c>
      <c r="O209" s="8">
        <f t="shared" si="32"/>
        <v>0.25900000172455112</v>
      </c>
      <c r="P209" s="2" t="s">
        <v>25</v>
      </c>
      <c r="Q209" s="2" t="s">
        <v>35</v>
      </c>
      <c r="R209" s="3">
        <v>10098.25</v>
      </c>
      <c r="S209" s="3">
        <f t="shared" si="33"/>
        <v>11597.22</v>
      </c>
      <c r="T209" s="8">
        <f t="shared" si="34"/>
        <v>1.1484385908449484</v>
      </c>
      <c r="U209" s="10">
        <f t="shared" si="35"/>
        <v>0.14843859084494831</v>
      </c>
    </row>
    <row r="210" spans="1:21" x14ac:dyDescent="0.3">
      <c r="A210" s="5">
        <v>45994</v>
      </c>
      <c r="B210" s="2" t="str">
        <f t="shared" si="27"/>
        <v>Dec</v>
      </c>
      <c r="C210" s="2" t="str">
        <f t="shared" si="28"/>
        <v>Q4</v>
      </c>
      <c r="D210" s="2">
        <f t="shared" si="29"/>
        <v>2025</v>
      </c>
      <c r="E210" s="2" t="s">
        <v>20</v>
      </c>
      <c r="F210" s="2" t="s">
        <v>65</v>
      </c>
      <c r="G210" s="2" t="s">
        <v>48</v>
      </c>
      <c r="H210" s="2" t="s">
        <v>52</v>
      </c>
      <c r="I210" s="2" t="s">
        <v>53</v>
      </c>
      <c r="J210" s="2">
        <v>21</v>
      </c>
      <c r="K210" s="3">
        <v>1094.23</v>
      </c>
      <c r="L210" s="3">
        <f t="shared" si="30"/>
        <v>22978.83</v>
      </c>
      <c r="M210" s="3">
        <f>ROUND(L210*0.69,2)</f>
        <v>15855.39</v>
      </c>
      <c r="N210" s="3">
        <f t="shared" si="31"/>
        <v>7123.4400000000023</v>
      </c>
      <c r="O210" s="8">
        <f t="shared" si="32"/>
        <v>0.310000117499455</v>
      </c>
      <c r="P210" s="2" t="s">
        <v>25</v>
      </c>
      <c r="Q210" s="2" t="s">
        <v>35</v>
      </c>
      <c r="R210" s="3">
        <v>19984.8</v>
      </c>
      <c r="S210" s="3">
        <f t="shared" si="33"/>
        <v>22978.83</v>
      </c>
      <c r="T210" s="8">
        <f t="shared" si="34"/>
        <v>1.1498153596733518</v>
      </c>
      <c r="U210" s="10">
        <f t="shared" si="35"/>
        <v>0.14981535967335188</v>
      </c>
    </row>
    <row r="211" spans="1:21" x14ac:dyDescent="0.3">
      <c r="A211" s="5">
        <v>45995</v>
      </c>
      <c r="B211" s="2" t="str">
        <f t="shared" si="27"/>
        <v>Dec</v>
      </c>
      <c r="C211" s="2" t="str">
        <f t="shared" si="28"/>
        <v>Q4</v>
      </c>
      <c r="D211" s="2">
        <f t="shared" si="29"/>
        <v>2025</v>
      </c>
      <c r="E211" s="2" t="s">
        <v>42</v>
      </c>
      <c r="F211" s="2" t="s">
        <v>47</v>
      </c>
      <c r="G211" s="2" t="s">
        <v>85</v>
      </c>
      <c r="H211" s="2" t="s">
        <v>39</v>
      </c>
      <c r="I211" s="2" t="s">
        <v>58</v>
      </c>
      <c r="J211" s="2">
        <v>35</v>
      </c>
      <c r="K211" s="3">
        <v>1177.24</v>
      </c>
      <c r="L211" s="3">
        <f t="shared" si="30"/>
        <v>41203.4</v>
      </c>
      <c r="M211" s="3">
        <f>ROUND(L211*0.602,2)</f>
        <v>24804.45</v>
      </c>
      <c r="N211" s="3">
        <f t="shared" si="31"/>
        <v>16398.95</v>
      </c>
      <c r="O211" s="8">
        <f t="shared" si="32"/>
        <v>0.39799992233650622</v>
      </c>
      <c r="P211" s="2" t="s">
        <v>25</v>
      </c>
      <c r="Q211" s="2" t="s">
        <v>26</v>
      </c>
      <c r="R211" s="3">
        <v>36864.550000000003</v>
      </c>
      <c r="S211" s="3">
        <f t="shared" si="33"/>
        <v>41203.4</v>
      </c>
      <c r="T211" s="8">
        <f t="shared" si="34"/>
        <v>1.1176970829699535</v>
      </c>
      <c r="U211" s="10">
        <f t="shared" si="35"/>
        <v>0.11769708296995347</v>
      </c>
    </row>
    <row r="212" spans="1:21" x14ac:dyDescent="0.3">
      <c r="A212" s="5">
        <v>45998</v>
      </c>
      <c r="B212" s="2" t="str">
        <f t="shared" si="27"/>
        <v>Dec</v>
      </c>
      <c r="C212" s="2" t="str">
        <f t="shared" si="28"/>
        <v>Q4</v>
      </c>
      <c r="D212" s="2">
        <f t="shared" si="29"/>
        <v>2025</v>
      </c>
      <c r="E212" s="2" t="s">
        <v>27</v>
      </c>
      <c r="F212" s="2" t="s">
        <v>59</v>
      </c>
      <c r="G212" s="2" t="s">
        <v>68</v>
      </c>
      <c r="H212" s="2" t="s">
        <v>30</v>
      </c>
      <c r="I212" s="2" t="s">
        <v>60</v>
      </c>
      <c r="J212" s="2">
        <v>7</v>
      </c>
      <c r="K212" s="3">
        <v>21846.71</v>
      </c>
      <c r="L212" s="3">
        <f t="shared" si="30"/>
        <v>152926.97</v>
      </c>
      <c r="M212" s="3">
        <f>ROUND(L212*0.605,2)</f>
        <v>92520.82</v>
      </c>
      <c r="N212" s="3">
        <f t="shared" si="31"/>
        <v>60406.149999999994</v>
      </c>
      <c r="O212" s="8">
        <f t="shared" si="32"/>
        <v>0.39499997940193277</v>
      </c>
      <c r="P212" s="2" t="s">
        <v>25</v>
      </c>
      <c r="Q212" s="2" t="s">
        <v>35</v>
      </c>
      <c r="R212" s="3">
        <v>156226.65</v>
      </c>
      <c r="S212" s="3">
        <f t="shared" si="33"/>
        <v>152926.97</v>
      </c>
      <c r="T212" s="8">
        <f t="shared" si="34"/>
        <v>0.97887889166156994</v>
      </c>
      <c r="U212" s="10">
        <f t="shared" si="35"/>
        <v>-2.1121108338430051E-2</v>
      </c>
    </row>
    <row r="213" spans="1:21" x14ac:dyDescent="0.3">
      <c r="A213" s="5">
        <v>45998</v>
      </c>
      <c r="B213" s="2" t="str">
        <f t="shared" si="27"/>
        <v>Dec</v>
      </c>
      <c r="C213" s="2" t="str">
        <f t="shared" si="28"/>
        <v>Q4</v>
      </c>
      <c r="D213" s="2">
        <f t="shared" si="29"/>
        <v>2025</v>
      </c>
      <c r="E213" s="2" t="s">
        <v>27</v>
      </c>
      <c r="F213" s="2" t="s">
        <v>78</v>
      </c>
      <c r="G213" s="2" t="s">
        <v>55</v>
      </c>
      <c r="H213" s="2" t="s">
        <v>52</v>
      </c>
      <c r="I213" s="2" t="s">
        <v>61</v>
      </c>
      <c r="J213" s="2">
        <v>7</v>
      </c>
      <c r="K213" s="3">
        <v>1048.22</v>
      </c>
      <c r="L213" s="3">
        <f t="shared" si="30"/>
        <v>7337.54</v>
      </c>
      <c r="M213" s="3">
        <f>ROUND(L213*0.776,2)</f>
        <v>5693.93</v>
      </c>
      <c r="N213" s="3">
        <f t="shared" si="31"/>
        <v>1643.6099999999997</v>
      </c>
      <c r="O213" s="8">
        <f t="shared" si="32"/>
        <v>0.22400014173687635</v>
      </c>
      <c r="P213" s="2" t="s">
        <v>25</v>
      </c>
      <c r="Q213" s="2" t="s">
        <v>26</v>
      </c>
      <c r="R213" s="3">
        <v>7045.51</v>
      </c>
      <c r="S213" s="3">
        <f t="shared" si="33"/>
        <v>7337.54</v>
      </c>
      <c r="T213" s="8">
        <f t="shared" si="34"/>
        <v>1.0414490931103639</v>
      </c>
      <c r="U213" s="10">
        <f t="shared" si="35"/>
        <v>4.144909311036387E-2</v>
      </c>
    </row>
    <row r="214" spans="1:21" x14ac:dyDescent="0.3">
      <c r="A214" s="5">
        <v>45998</v>
      </c>
      <c r="B214" s="2" t="str">
        <f t="shared" si="27"/>
        <v>Dec</v>
      </c>
      <c r="C214" s="2" t="str">
        <f t="shared" si="28"/>
        <v>Q4</v>
      </c>
      <c r="D214" s="2">
        <f t="shared" si="29"/>
        <v>2025</v>
      </c>
      <c r="E214" s="2" t="s">
        <v>36</v>
      </c>
      <c r="F214" s="2" t="s">
        <v>37</v>
      </c>
      <c r="G214" s="2" t="s">
        <v>55</v>
      </c>
      <c r="H214" s="2" t="s">
        <v>23</v>
      </c>
      <c r="I214" s="2" t="s">
        <v>88</v>
      </c>
      <c r="J214" s="2">
        <v>28</v>
      </c>
      <c r="K214" s="3">
        <v>37853.96</v>
      </c>
      <c r="L214" s="3">
        <f t="shared" si="30"/>
        <v>1059910.8799999999</v>
      </c>
      <c r="M214" s="3">
        <f>ROUND(L214*0.613,2)</f>
        <v>649725.37</v>
      </c>
      <c r="N214" s="3">
        <f t="shared" si="31"/>
        <v>410185.50999999989</v>
      </c>
      <c r="O214" s="8">
        <f t="shared" si="32"/>
        <v>0.38699999947165364</v>
      </c>
      <c r="P214" s="2" t="s">
        <v>41</v>
      </c>
      <c r="Q214" s="2" t="s">
        <v>26</v>
      </c>
      <c r="R214" s="3">
        <v>1212546.72</v>
      </c>
      <c r="S214" s="3">
        <f t="shared" si="33"/>
        <v>1059910.8799999999</v>
      </c>
      <c r="T214" s="8">
        <f t="shared" si="34"/>
        <v>0.87411962155157197</v>
      </c>
      <c r="U214" s="10">
        <f t="shared" si="35"/>
        <v>-0.12588037844842803</v>
      </c>
    </row>
    <row r="215" spans="1:21" x14ac:dyDescent="0.3">
      <c r="A215" s="5">
        <v>45998</v>
      </c>
      <c r="B215" s="2" t="str">
        <f t="shared" si="27"/>
        <v>Dec</v>
      </c>
      <c r="C215" s="2" t="str">
        <f t="shared" si="28"/>
        <v>Q4</v>
      </c>
      <c r="D215" s="2">
        <f t="shared" si="29"/>
        <v>2025</v>
      </c>
      <c r="E215" s="2" t="s">
        <v>36</v>
      </c>
      <c r="F215" s="2" t="s">
        <v>37</v>
      </c>
      <c r="G215" s="2" t="s">
        <v>55</v>
      </c>
      <c r="H215" s="2" t="s">
        <v>45</v>
      </c>
      <c r="I215" s="2" t="s">
        <v>89</v>
      </c>
      <c r="J215" s="2">
        <v>18</v>
      </c>
      <c r="K215" s="3">
        <v>3294.4</v>
      </c>
      <c r="L215" s="3">
        <f t="shared" si="30"/>
        <v>59299.200000000004</v>
      </c>
      <c r="M215" s="3">
        <f>ROUND(L215*0.616,2)</f>
        <v>36528.31</v>
      </c>
      <c r="N215" s="3">
        <f t="shared" si="31"/>
        <v>22770.890000000007</v>
      </c>
      <c r="O215" s="8">
        <f t="shared" si="32"/>
        <v>0.38399995278182514</v>
      </c>
      <c r="P215" s="2" t="s">
        <v>25</v>
      </c>
      <c r="Q215" s="2" t="s">
        <v>35</v>
      </c>
      <c r="R215" s="3">
        <v>60606.33</v>
      </c>
      <c r="S215" s="3">
        <f t="shared" si="33"/>
        <v>59299.200000000004</v>
      </c>
      <c r="T215" s="8">
        <f t="shared" si="34"/>
        <v>0.97843245086775599</v>
      </c>
      <c r="U215" s="10">
        <f t="shared" si="35"/>
        <v>-2.1567549132244065E-2</v>
      </c>
    </row>
    <row r="216" spans="1:21" x14ac:dyDescent="0.3">
      <c r="A216" s="5">
        <v>45999</v>
      </c>
      <c r="B216" s="2" t="str">
        <f t="shared" si="27"/>
        <v>Dec</v>
      </c>
      <c r="C216" s="2" t="str">
        <f t="shared" si="28"/>
        <v>Q4</v>
      </c>
      <c r="D216" s="2">
        <f t="shared" si="29"/>
        <v>2025</v>
      </c>
      <c r="E216" s="2" t="s">
        <v>36</v>
      </c>
      <c r="F216" s="2" t="s">
        <v>76</v>
      </c>
      <c r="G216" s="2" t="s">
        <v>55</v>
      </c>
      <c r="H216" s="2" t="s">
        <v>23</v>
      </c>
      <c r="I216" s="2" t="s">
        <v>24</v>
      </c>
      <c r="J216" s="2">
        <v>26</v>
      </c>
      <c r="K216" s="3">
        <v>19418.55</v>
      </c>
      <c r="L216" s="3">
        <f t="shared" si="30"/>
        <v>504882.3</v>
      </c>
      <c r="M216" s="3">
        <f>ROUND(L216*0.709,2)</f>
        <v>357961.55</v>
      </c>
      <c r="N216" s="3">
        <f t="shared" si="31"/>
        <v>146920.75</v>
      </c>
      <c r="O216" s="8">
        <f t="shared" si="32"/>
        <v>0.29100000138646176</v>
      </c>
      <c r="P216" s="2" t="s">
        <v>25</v>
      </c>
      <c r="Q216" s="2" t="s">
        <v>35</v>
      </c>
      <c r="R216" s="3">
        <v>475529.36</v>
      </c>
      <c r="S216" s="3">
        <f t="shared" si="33"/>
        <v>504882.3</v>
      </c>
      <c r="T216" s="8">
        <f t="shared" si="34"/>
        <v>1.0617268721325641</v>
      </c>
      <c r="U216" s="10">
        <f t="shared" si="35"/>
        <v>6.1726872132564017E-2</v>
      </c>
    </row>
    <row r="217" spans="1:21" x14ac:dyDescent="0.3">
      <c r="A217" s="5">
        <v>46002</v>
      </c>
      <c r="B217" s="2" t="str">
        <f t="shared" si="27"/>
        <v>Dec</v>
      </c>
      <c r="C217" s="2" t="str">
        <f t="shared" si="28"/>
        <v>Q4</v>
      </c>
      <c r="D217" s="2">
        <f t="shared" si="29"/>
        <v>2025</v>
      </c>
      <c r="E217" s="2" t="s">
        <v>36</v>
      </c>
      <c r="F217" s="2" t="s">
        <v>37</v>
      </c>
      <c r="G217" s="2" t="s">
        <v>85</v>
      </c>
      <c r="H217" s="2" t="s">
        <v>52</v>
      </c>
      <c r="I217" s="2" t="s">
        <v>84</v>
      </c>
      <c r="J217" s="2">
        <v>6</v>
      </c>
      <c r="K217" s="3">
        <v>188.53</v>
      </c>
      <c r="L217" s="3">
        <f t="shared" si="30"/>
        <v>1131.18</v>
      </c>
      <c r="M217" s="3">
        <f>ROUND(L217*0.622,2)</f>
        <v>703.59</v>
      </c>
      <c r="N217" s="3">
        <f t="shared" si="31"/>
        <v>427.59000000000003</v>
      </c>
      <c r="O217" s="8">
        <f t="shared" si="32"/>
        <v>0.37800350076910838</v>
      </c>
      <c r="P217" s="2" t="s">
        <v>25</v>
      </c>
      <c r="Q217" s="2" t="s">
        <v>26</v>
      </c>
      <c r="R217" s="3">
        <v>1071.21</v>
      </c>
      <c r="S217" s="3">
        <f t="shared" si="33"/>
        <v>1131.18</v>
      </c>
      <c r="T217" s="8">
        <f t="shared" si="34"/>
        <v>1.055983420617806</v>
      </c>
      <c r="U217" s="10">
        <f t="shared" si="35"/>
        <v>5.5983420617806055E-2</v>
      </c>
    </row>
    <row r="218" spans="1:21" x14ac:dyDescent="0.3">
      <c r="A218" s="5">
        <v>46005</v>
      </c>
      <c r="B218" s="2" t="str">
        <f t="shared" si="27"/>
        <v>Dec</v>
      </c>
      <c r="C218" s="2" t="str">
        <f t="shared" si="28"/>
        <v>Q4</v>
      </c>
      <c r="D218" s="2">
        <f t="shared" si="29"/>
        <v>2025</v>
      </c>
      <c r="E218" s="2" t="s">
        <v>27</v>
      </c>
      <c r="F218" s="2" t="s">
        <v>78</v>
      </c>
      <c r="G218" s="2" t="s">
        <v>22</v>
      </c>
      <c r="H218" s="2" t="s">
        <v>52</v>
      </c>
      <c r="I218" s="2" t="s">
        <v>71</v>
      </c>
      <c r="J218" s="2">
        <v>12</v>
      </c>
      <c r="K218" s="3">
        <v>861.18</v>
      </c>
      <c r="L218" s="3">
        <f t="shared" si="30"/>
        <v>10334.16</v>
      </c>
      <c r="M218" s="3">
        <f>ROUND(L218*0.692,2)</f>
        <v>7151.24</v>
      </c>
      <c r="N218" s="3">
        <f t="shared" si="31"/>
        <v>3182.92</v>
      </c>
      <c r="O218" s="8">
        <f t="shared" si="32"/>
        <v>0.30799987613894114</v>
      </c>
      <c r="P218" s="2" t="s">
        <v>41</v>
      </c>
      <c r="Q218" s="2" t="s">
        <v>35</v>
      </c>
      <c r="R218" s="3">
        <v>9717.06</v>
      </c>
      <c r="S218" s="3">
        <f t="shared" si="33"/>
        <v>10334.16</v>
      </c>
      <c r="T218" s="8">
        <f t="shared" si="34"/>
        <v>1.0635068631870135</v>
      </c>
      <c r="U218" s="10">
        <f t="shared" si="35"/>
        <v>6.3506863187013401E-2</v>
      </c>
    </row>
    <row r="219" spans="1:21" x14ac:dyDescent="0.3">
      <c r="A219" s="5">
        <v>46006</v>
      </c>
      <c r="B219" s="2" t="str">
        <f t="shared" si="27"/>
        <v>Dec</v>
      </c>
      <c r="C219" s="2" t="str">
        <f t="shared" si="28"/>
        <v>Q4</v>
      </c>
      <c r="D219" s="2">
        <f t="shared" si="29"/>
        <v>2025</v>
      </c>
      <c r="E219" s="2" t="s">
        <v>42</v>
      </c>
      <c r="F219" s="2" t="s">
        <v>43</v>
      </c>
      <c r="G219" s="2" t="s">
        <v>51</v>
      </c>
      <c r="H219" s="2" t="s">
        <v>23</v>
      </c>
      <c r="I219" s="2" t="s">
        <v>64</v>
      </c>
      <c r="J219" s="2">
        <v>31</v>
      </c>
      <c r="K219" s="3">
        <v>18849.509999999998</v>
      </c>
      <c r="L219" s="3">
        <f t="shared" si="30"/>
        <v>584334.80999999994</v>
      </c>
      <c r="M219" s="3">
        <f>ROUND(L219*0.651,2)</f>
        <v>380401.96</v>
      </c>
      <c r="N219" s="3">
        <f t="shared" si="31"/>
        <v>203932.84999999992</v>
      </c>
      <c r="O219" s="8">
        <f t="shared" si="32"/>
        <v>0.34900000224186534</v>
      </c>
      <c r="P219" s="2" t="s">
        <v>41</v>
      </c>
      <c r="Q219" s="2" t="s">
        <v>35</v>
      </c>
      <c r="R219" s="3">
        <v>529003.62</v>
      </c>
      <c r="S219" s="3">
        <f t="shared" si="33"/>
        <v>584334.80999999994</v>
      </c>
      <c r="T219" s="8">
        <f t="shared" si="34"/>
        <v>1.1045951065514448</v>
      </c>
      <c r="U219" s="10">
        <f t="shared" si="35"/>
        <v>0.10459510655144466</v>
      </c>
    </row>
    <row r="220" spans="1:21" x14ac:dyDescent="0.3">
      <c r="A220" s="5">
        <v>46010</v>
      </c>
      <c r="B220" s="2" t="str">
        <f t="shared" si="27"/>
        <v>Dec</v>
      </c>
      <c r="C220" s="2" t="str">
        <f t="shared" si="28"/>
        <v>Q4</v>
      </c>
      <c r="D220" s="2">
        <f t="shared" si="29"/>
        <v>2025</v>
      </c>
      <c r="E220" s="2" t="s">
        <v>32</v>
      </c>
      <c r="F220" s="2" t="s">
        <v>33</v>
      </c>
      <c r="G220" s="2" t="s">
        <v>57</v>
      </c>
      <c r="H220" s="2" t="s">
        <v>30</v>
      </c>
      <c r="I220" s="2" t="s">
        <v>31</v>
      </c>
      <c r="J220" s="2">
        <v>39</v>
      </c>
      <c r="K220" s="3">
        <v>18127.349999999999</v>
      </c>
      <c r="L220" s="3">
        <f t="shared" si="30"/>
        <v>706966.64999999991</v>
      </c>
      <c r="M220" s="3">
        <f>ROUND(L220*0.751,2)</f>
        <v>530931.94999999995</v>
      </c>
      <c r="N220" s="3">
        <f t="shared" si="31"/>
        <v>176034.69999999995</v>
      </c>
      <c r="O220" s="8">
        <f t="shared" si="32"/>
        <v>0.24900000587014956</v>
      </c>
      <c r="P220" s="2" t="s">
        <v>25</v>
      </c>
      <c r="Q220" s="2" t="s">
        <v>35</v>
      </c>
      <c r="R220" s="3">
        <v>618285.53</v>
      </c>
      <c r="S220" s="3">
        <f t="shared" si="33"/>
        <v>706966.64999999991</v>
      </c>
      <c r="T220" s="8">
        <f t="shared" si="34"/>
        <v>1.1434306897009217</v>
      </c>
      <c r="U220" s="10">
        <f t="shared" si="35"/>
        <v>0.14343068970092163</v>
      </c>
    </row>
    <row r="221" spans="1:21" x14ac:dyDescent="0.3">
      <c r="A221" s="5">
        <v>46014</v>
      </c>
      <c r="B221" s="2" t="str">
        <f t="shared" si="27"/>
        <v>Dec</v>
      </c>
      <c r="C221" s="2" t="str">
        <f t="shared" si="28"/>
        <v>Q4</v>
      </c>
      <c r="D221" s="2">
        <f t="shared" si="29"/>
        <v>2025</v>
      </c>
      <c r="E221" s="2" t="s">
        <v>42</v>
      </c>
      <c r="F221" s="2" t="s">
        <v>63</v>
      </c>
      <c r="G221" s="2" t="s">
        <v>57</v>
      </c>
      <c r="H221" s="2" t="s">
        <v>45</v>
      </c>
      <c r="I221" s="2" t="s">
        <v>75</v>
      </c>
      <c r="J221" s="2">
        <v>21</v>
      </c>
      <c r="K221" s="3">
        <v>2028.5</v>
      </c>
      <c r="L221" s="3">
        <f t="shared" si="30"/>
        <v>42598.5</v>
      </c>
      <c r="M221" s="3">
        <f>ROUND(L221*0.77,2)</f>
        <v>32800.85</v>
      </c>
      <c r="N221" s="3">
        <f t="shared" si="31"/>
        <v>9797.6500000000015</v>
      </c>
      <c r="O221" s="8">
        <f t="shared" si="32"/>
        <v>0.22999988262497509</v>
      </c>
      <c r="P221" s="2" t="s">
        <v>25</v>
      </c>
      <c r="Q221" s="2" t="s">
        <v>35</v>
      </c>
      <c r="R221" s="3">
        <v>42083.02</v>
      </c>
      <c r="S221" s="3">
        <f t="shared" si="33"/>
        <v>42598.5</v>
      </c>
      <c r="T221" s="8">
        <f t="shared" si="34"/>
        <v>1.0122491209043458</v>
      </c>
      <c r="U221" s="10">
        <f t="shared" si="35"/>
        <v>1.2249120904345821E-2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Sachin Sakhare</cp:lastModifiedBy>
  <cp:revision>0</cp:revision>
  <dcterms:created xsi:type="dcterms:W3CDTF">2026-09-08T13:22:34Z</dcterms:created>
  <dcterms:modified xsi:type="dcterms:W3CDTF">2026-10-10T16:15:31Z</dcterms:modified>
  <dc:language>en-US</dc:language>
</cp:coreProperties>
</file>